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Btc9C9enqI2CHUs4e6jXMbTa+qifJdGga7v/CqaeEv8="/>
    </ext>
  </extLst>
</workbook>
</file>

<file path=xl/sharedStrings.xml><?xml version="1.0" encoding="utf-8"?>
<sst xmlns="http://schemas.openxmlformats.org/spreadsheetml/2006/main" count="311" uniqueCount="186">
  <si>
    <t>Bene FAI</t>
  </si>
  <si>
    <t>Regione</t>
  </si>
  <si>
    <t>Provincia</t>
  </si>
  <si>
    <t>Mezzi_Pubblici</t>
  </si>
  <si>
    <t xml:space="preserve">N_Cambi </t>
  </si>
  <si>
    <t>Durata_Viaggio</t>
  </si>
  <si>
    <t>Geolocalizzazione</t>
  </si>
  <si>
    <t>Distanza_Stazione_Centrale</t>
  </si>
  <si>
    <t>Gruppo_durata</t>
  </si>
  <si>
    <t>Gruppo_distanza</t>
  </si>
  <si>
    <t>sotituto</t>
  </si>
  <si>
    <t>minuti</t>
  </si>
  <si>
    <t>km/h</t>
  </si>
  <si>
    <t>risultato</t>
  </si>
  <si>
    <t>Maso Fratton Valaja</t>
  </si>
  <si>
    <t>Trentino Alto Adige</t>
  </si>
  <si>
    <t>Trento</t>
  </si>
  <si>
    <t>Si</t>
  </si>
  <si>
    <t>46.216900, 11.047473</t>
  </si>
  <si>
    <t>Saline Conti Vecchi</t>
  </si>
  <si>
    <t>Sardegna</t>
  </si>
  <si>
    <t>Cagliari</t>
  </si>
  <si>
    <t xml:space="preserve">39.224060, 9.024623
</t>
  </si>
  <si>
    <t>Alpe Pedroria e Alpe Madrera</t>
  </si>
  <si>
    <t>Lombardia</t>
  </si>
  <si>
    <t>Sondrio</t>
  </si>
  <si>
    <t>46.136517, 9.611203</t>
  </si>
  <si>
    <t xml:space="preserve">Cappella del Sinomio </t>
  </si>
  <si>
    <t>46.069127, 11.123778</t>
  </si>
  <si>
    <t>Villa Fogazzaro Roi</t>
  </si>
  <si>
    <t>Como</t>
  </si>
  <si>
    <t>46.021473, 9.033164</t>
  </si>
  <si>
    <t>Torre del Soccorso detta del Barbarossa</t>
  </si>
  <si>
    <t>45.969658, 9.171422</t>
  </si>
  <si>
    <t>Velarca</t>
  </si>
  <si>
    <t>45.967969, 9.173227</t>
  </si>
  <si>
    <t>Villa del Balbianello</t>
  </si>
  <si>
    <t>45.965379, 9.202457</t>
  </si>
  <si>
    <t>Mulino "maurizio Gervasoni"</t>
  </si>
  <si>
    <t>Varese</t>
  </si>
  <si>
    <t>45.952192, 9.732398</t>
  </si>
  <si>
    <t>Monte Fontana Secca</t>
  </si>
  <si>
    <t>Veneto</t>
  </si>
  <si>
    <t>Belluno</t>
  </si>
  <si>
    <t>45.924064, 11.934239</t>
  </si>
  <si>
    <t>Villa della porta bozzolo</t>
  </si>
  <si>
    <t>45.907728, 8.712233</t>
  </si>
  <si>
    <t>Antica Pensilina del Tram</t>
  </si>
  <si>
    <t>45.846443, 8.797065</t>
  </si>
  <si>
    <t>Torre di Velate</t>
  </si>
  <si>
    <t xml:space="preserve">45.840535, 8.792701
</t>
  </si>
  <si>
    <t>Villa e Collezione Panza</t>
  </si>
  <si>
    <t>45.825505, 8.828864</t>
  </si>
  <si>
    <t>Casa Macchi</t>
  </si>
  <si>
    <t>45.764828, 8.831385</t>
  </si>
  <si>
    <t>Memoriale Brion</t>
  </si>
  <si>
    <t>Treviso</t>
  </si>
  <si>
    <t>45.7512809970231, 11.913732957724616</t>
  </si>
  <si>
    <t>Catello di Avio</t>
  </si>
  <si>
    <t>45.746777, 10.951835</t>
  </si>
  <si>
    <t>Monastero di Torba</t>
  </si>
  <si>
    <t>45.729706, 8.863697</t>
  </si>
  <si>
    <t xml:space="preserve">Palazzo Moroni </t>
  </si>
  <si>
    <t>Bergamo</t>
  </si>
  <si>
    <t>45.703316, 9.667605</t>
  </si>
  <si>
    <t>Oasi Zenga</t>
  </si>
  <si>
    <t>Piemonte</t>
  </si>
  <si>
    <t>Biella</t>
  </si>
  <si>
    <t>45.670757, 8.157726</t>
  </si>
  <si>
    <t>Palzzina Appiani</t>
  </si>
  <si>
    <t>Milano</t>
  </si>
  <si>
    <t>45.475354, 9.178324</t>
  </si>
  <si>
    <t>Villa Necchi Campiglio</t>
  </si>
  <si>
    <t xml:space="preserve">Lombardia </t>
  </si>
  <si>
    <t>45.468984, 9.202032</t>
  </si>
  <si>
    <t>Collezione Enrico a Villa Flecchia</t>
  </si>
  <si>
    <t>45.461482, 8.003094</t>
  </si>
  <si>
    <t>Negozio Olivetti</t>
  </si>
  <si>
    <t>Venezia</t>
  </si>
  <si>
    <t>45.434177, 12.337587</t>
  </si>
  <si>
    <t>Casa Bortoli</t>
  </si>
  <si>
    <t>45.432068, 12.334343</t>
  </si>
  <si>
    <t>Castello e Parco di Masino</t>
  </si>
  <si>
    <t>Torino</t>
  </si>
  <si>
    <t>45.391865, 7.959521</t>
  </si>
  <si>
    <t>Villa dei Vescovi</t>
  </si>
  <si>
    <t>Padova</t>
  </si>
  <si>
    <t>45.343433, 11.711590</t>
  </si>
  <si>
    <t>Antica edicola dei giornali</t>
  </si>
  <si>
    <t>Mantova</t>
  </si>
  <si>
    <t>45.159845, 10.792630</t>
  </si>
  <si>
    <t>Castello della Manta</t>
  </si>
  <si>
    <t>Cuneo</t>
  </si>
  <si>
    <t>44.614724, 7.482725</t>
  </si>
  <si>
    <t>Antica barberia Giacalone</t>
  </si>
  <si>
    <t>Liguria</t>
  </si>
  <si>
    <t>Genova</t>
  </si>
  <si>
    <t>44.408146, 8.929295</t>
  </si>
  <si>
    <t xml:space="preserve">Promontorio e Torre di Punta Pagana </t>
  </si>
  <si>
    <t xml:space="preserve">44.338308, 9.225991
</t>
  </si>
  <si>
    <t>Aree boschive sul Monte di Portofino</t>
  </si>
  <si>
    <t>44.326410, 9.166688</t>
  </si>
  <si>
    <t>Abbazia di San Fruttuoso</t>
  </si>
  <si>
    <t xml:space="preserve">44.316523, 9.175179
</t>
  </si>
  <si>
    <t>Casa Carbone</t>
  </si>
  <si>
    <t>44.309896, 9.345110</t>
  </si>
  <si>
    <t xml:space="preserve"> Podere Case Lovara</t>
  </si>
  <si>
    <t>Spezia</t>
  </si>
  <si>
    <t xml:space="preserve">44.143857, 9.629446
</t>
  </si>
  <si>
    <t>Villa Rezzola</t>
  </si>
  <si>
    <t>44.086304505013196, 9.91098728344679</t>
  </si>
  <si>
    <t>Teatrino di Vetriano</t>
  </si>
  <si>
    <t>Toscana</t>
  </si>
  <si>
    <t>Lucca</t>
  </si>
  <si>
    <t>43.982336, 10.471633</t>
  </si>
  <si>
    <t>Area costiera a San Giovanni a Piro</t>
  </si>
  <si>
    <t>Campania</t>
  </si>
  <si>
    <t>Salerno</t>
  </si>
  <si>
    <t xml:space="preserve">40.036076, 15.466075
</t>
  </si>
  <si>
    <t>Torre e Casa Campatelli</t>
  </si>
  <si>
    <t>Siena</t>
  </si>
  <si>
    <t>43.466674, 11.043001</t>
  </si>
  <si>
    <t>Orto sul colle dell'Infinito</t>
  </si>
  <si>
    <t>Marche</t>
  </si>
  <si>
    <t>Macerata</t>
  </si>
  <si>
    <t>43.398113, 13.549520</t>
  </si>
  <si>
    <t>Bosco di San Francesco</t>
  </si>
  <si>
    <t>Umbria</t>
  </si>
  <si>
    <t>Perugia</t>
  </si>
  <si>
    <t>43.081327, 12.616254</t>
  </si>
  <si>
    <t>Baia di Ieranto</t>
  </si>
  <si>
    <t>Napoli</t>
  </si>
  <si>
    <t>40.574628, 14.341502</t>
  </si>
  <si>
    <t>Area agricola a Cetona</t>
  </si>
  <si>
    <t xml:space="preserve">42.965672, 11.902059
</t>
  </si>
  <si>
    <t>Parco Villa Gregoriana</t>
  </si>
  <si>
    <t>Lazio</t>
  </si>
  <si>
    <t>Roma</t>
  </si>
  <si>
    <t xml:space="preserve">41.965503, 12.801744
</t>
  </si>
  <si>
    <t>Parco Sorgenti Ferrarelle di Riardo</t>
  </si>
  <si>
    <t>Caserta</t>
  </si>
  <si>
    <t xml:space="preserve">41.257267, 14.126356
</t>
  </si>
  <si>
    <t>Villa San Luca e Collezione Laura</t>
  </si>
  <si>
    <t xml:space="preserve">Liguria
</t>
  </si>
  <si>
    <t>Imperia</t>
  </si>
  <si>
    <t>No</t>
  </si>
  <si>
    <t>N</t>
  </si>
  <si>
    <t>43.802046, 7.717167</t>
  </si>
  <si>
    <t>Area costiera sull'Isola di Capraia</t>
  </si>
  <si>
    <t>Livorno</t>
  </si>
  <si>
    <t>No (isola)</t>
  </si>
  <si>
    <t>43.037438, 9.817240</t>
  </si>
  <si>
    <t>Area costiera a Cala Junco</t>
  </si>
  <si>
    <t>Sicilia</t>
  </si>
  <si>
    <t>Messina</t>
  </si>
  <si>
    <t>38.625840, 15.063398</t>
  </si>
  <si>
    <t>Area collinare sull'Isola di Levanzo</t>
  </si>
  <si>
    <t>Trapani</t>
  </si>
  <si>
    <t xml:space="preserve">37.999865, 12.332071
</t>
  </si>
  <si>
    <t>Giardino della Kolymbethra</t>
  </si>
  <si>
    <t>Agrigento</t>
  </si>
  <si>
    <t xml:space="preserve">37.291867, 13.581168
</t>
  </si>
  <si>
    <t>Giardino Pantesco Donnafugata</t>
  </si>
  <si>
    <t xml:space="preserve">36.805860, 12.021765
</t>
  </si>
  <si>
    <t>Castel Grumello</t>
  </si>
  <si>
    <t>46.173576, 9.896924</t>
  </si>
  <si>
    <t>Casino Mollo</t>
  </si>
  <si>
    <t>Calabria</t>
  </si>
  <si>
    <t>Cosenza</t>
  </si>
  <si>
    <t>39.323389, 16.469578</t>
  </si>
  <si>
    <t>I Giganti della Sila</t>
  </si>
  <si>
    <t xml:space="preserve">39.324430, 16.467523
</t>
  </si>
  <si>
    <t>Abbazia di Santa Maria di Cerrate</t>
  </si>
  <si>
    <t>Puglia</t>
  </si>
  <si>
    <t>Lecce</t>
  </si>
  <si>
    <t xml:space="preserve">40.458793, 18.115308
</t>
  </si>
  <si>
    <t>Casa Noha</t>
  </si>
  <si>
    <t>Basilicata</t>
  </si>
  <si>
    <t>Matera</t>
  </si>
  <si>
    <t xml:space="preserve">40.666100, 16.611719
</t>
  </si>
  <si>
    <t>Area costiera sull'Isola di Ponza</t>
  </si>
  <si>
    <t>Latina</t>
  </si>
  <si>
    <t xml:space="preserve">40.912585, 12.950434
</t>
  </si>
  <si>
    <t xml:space="preserve">Batteria Militare Talmone
</t>
  </si>
  <si>
    <t>Olbia - Tempio</t>
  </si>
  <si>
    <t>41.204732, 9.340256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</si>
</sst>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.ss"/>
    <numFmt numFmtId="165" formatCode="h.mm.ss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 style="medium">
        <color rgb="FFD6DADC"/>
      </right>
      <top/>
      <bottom style="medium">
        <color rgb="FFD6DADC"/>
      </bottom>
    </border>
    <border>
      <left/>
      <right style="medium">
        <color rgb="FFD6DADC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3" numFmtId="0" xfId="0" applyFont="1"/>
    <xf borderId="0" fillId="0" fontId="2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1" fillId="2" fontId="4" numFmtId="0" xfId="0" applyAlignment="1" applyBorder="1" applyFill="1" applyFont="1">
      <alignment vertical="center"/>
    </xf>
    <xf borderId="1" fillId="2" fontId="5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shrinkToFit="0" wrapText="1"/>
    </xf>
    <xf borderId="3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47625</xdr:colOff>
      <xdr:row>1</xdr:row>
      <xdr:rowOff>0</xdr:rowOff>
    </xdr:from>
    <xdr:ext cx="5715000" cy="3533775"/>
    <xdr:pic>
      <xdr:nvPicPr>
        <xdr:cNvPr id="638739851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20</xdr:row>
      <xdr:rowOff>66675</xdr:rowOff>
    </xdr:from>
    <xdr:ext cx="5715000" cy="3533775"/>
    <xdr:pic>
      <xdr:nvPicPr>
        <xdr:cNvPr id="375639728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39</xdr:row>
      <xdr:rowOff>152400</xdr:rowOff>
    </xdr:from>
    <xdr:ext cx="5715000" cy="3533775"/>
    <xdr:pic>
      <xdr:nvPicPr>
        <xdr:cNvPr id="1123879957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71"/>
    <col customWidth="1" min="2" max="2" width="21.29"/>
    <col customWidth="1" min="3" max="3" width="30.29"/>
    <col customWidth="1" min="4" max="4" width="16.29"/>
    <col customWidth="1" min="5" max="5" width="10.0"/>
    <col customWidth="1" min="7" max="8" width="30.29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ht="14.25" customHeight="1">
      <c r="A2" s="1" t="s">
        <v>14</v>
      </c>
      <c r="B2" s="2" t="s">
        <v>15</v>
      </c>
      <c r="C2" s="5" t="s">
        <v>16</v>
      </c>
      <c r="D2" s="2" t="s">
        <v>17</v>
      </c>
      <c r="E2" s="2">
        <v>1.0</v>
      </c>
      <c r="F2" s="6">
        <v>0.049305555555555554</v>
      </c>
      <c r="G2" s="1" t="s">
        <v>18</v>
      </c>
      <c r="H2" s="5">
        <v>26.0</v>
      </c>
      <c r="I2" s="7" t="str">
        <f t="shared" ref="I2:I46" si="1">IF(HOUR(F2)*60+MINUTE(F2)&lt;60, "Meno di un'ora", IF(HOUR(F2)*60+MINUTE(F2)&lt;=120,"Tra 1 e 2 ore", "Più di 2 ore"))</f>
        <v>Tra 1 e 2 ore</v>
      </c>
      <c r="K2" s="7" t="str">
        <f t="shared" ref="K2:K46" si="2">IF(H2&lt;5,"Less than 5km", "More than 5 km")</f>
        <v>More than 5 km</v>
      </c>
      <c r="L2" s="7" t="str">
        <f t="shared" ref="L2:L46" si="3">SUBSTITUTE(SUBSTITUTE(F2, ".", ":"), ":", ".", FIND(".", F2, FIND(".", F2) + 1) - FIND(".", F2))</f>
        <v>1:11:00</v>
      </c>
      <c r="M2" s="7">
        <f t="shared" ref="M2:M46" si="4">HOUR(F2)*60 + MINUTE(F2)</f>
        <v>71</v>
      </c>
      <c r="N2" s="7">
        <f t="shared" ref="N2:N46" si="5"> ROUNDUP(H2/M2*60,2)</f>
        <v>21.98</v>
      </c>
      <c r="O2" s="7" t="str">
        <f t="shared" ref="O2:O46" si="6">IF(AND(H2&lt;5, AND(N2&gt;=27, N2&lt;=33)), "Normale", IF(AND(H2&gt;5, AND(N2&gt;=42, N2&lt;=78)), "Normale", "Brutto"))</f>
        <v>Brutto</v>
      </c>
    </row>
    <row r="3" ht="14.25" customHeight="1">
      <c r="A3" s="1" t="s">
        <v>19</v>
      </c>
      <c r="B3" s="2" t="s">
        <v>20</v>
      </c>
      <c r="C3" s="2" t="s">
        <v>21</v>
      </c>
      <c r="D3" s="5" t="s">
        <v>17</v>
      </c>
      <c r="E3" s="2">
        <v>1.0</v>
      </c>
      <c r="F3" s="8">
        <v>0.06944444444444445</v>
      </c>
      <c r="G3" s="1" t="s">
        <v>22</v>
      </c>
      <c r="H3" s="5">
        <v>8.8</v>
      </c>
      <c r="I3" s="7" t="str">
        <f t="shared" si="1"/>
        <v>Tra 1 e 2 ore</v>
      </c>
      <c r="K3" s="7" t="str">
        <f t="shared" si="2"/>
        <v>More than 5 km</v>
      </c>
      <c r="L3" s="7" t="str">
        <f t="shared" si="3"/>
        <v>1:40:00</v>
      </c>
      <c r="M3" s="7">
        <f t="shared" si="4"/>
        <v>100</v>
      </c>
      <c r="N3" s="7">
        <f t="shared" si="5"/>
        <v>5.28</v>
      </c>
      <c r="O3" s="7" t="str">
        <f t="shared" si="6"/>
        <v>Brutto</v>
      </c>
    </row>
    <row r="4" ht="14.25" customHeight="1">
      <c r="A4" s="1" t="s">
        <v>23</v>
      </c>
      <c r="B4" s="2" t="s">
        <v>24</v>
      </c>
      <c r="C4" s="5" t="s">
        <v>25</v>
      </c>
      <c r="D4" s="2" t="s">
        <v>17</v>
      </c>
      <c r="E4" s="2">
        <v>0.0</v>
      </c>
      <c r="F4" s="9">
        <v>0.029861111111111113</v>
      </c>
      <c r="G4" s="10" t="s">
        <v>26</v>
      </c>
      <c r="H4" s="5">
        <v>23.0</v>
      </c>
      <c r="I4" s="7" t="str">
        <f t="shared" si="1"/>
        <v>Meno di un'ora</v>
      </c>
      <c r="K4" s="7" t="str">
        <f t="shared" si="2"/>
        <v>More than 5 km</v>
      </c>
      <c r="L4" s="7" t="str">
        <f t="shared" si="3"/>
        <v>0:43:00</v>
      </c>
      <c r="M4" s="7">
        <f t="shared" si="4"/>
        <v>43</v>
      </c>
      <c r="N4" s="7">
        <f t="shared" si="5"/>
        <v>32.1</v>
      </c>
      <c r="O4" s="7" t="str">
        <f t="shared" si="6"/>
        <v>Brutto</v>
      </c>
    </row>
    <row r="5" ht="14.25" customHeight="1">
      <c r="A5" s="1" t="s">
        <v>27</v>
      </c>
      <c r="B5" s="2" t="s">
        <v>15</v>
      </c>
      <c r="C5" s="5" t="s">
        <v>25</v>
      </c>
      <c r="D5" s="2" t="s">
        <v>17</v>
      </c>
      <c r="E5" s="2">
        <v>0.0</v>
      </c>
      <c r="F5" s="9">
        <v>0.0062499999999999995</v>
      </c>
      <c r="G5" s="10" t="s">
        <v>28</v>
      </c>
      <c r="H5" s="5">
        <v>0.65</v>
      </c>
      <c r="I5" s="7" t="str">
        <f t="shared" si="1"/>
        <v>Meno di un'ora</v>
      </c>
      <c r="K5" s="7" t="str">
        <f t="shared" si="2"/>
        <v>Less than 5km</v>
      </c>
      <c r="L5" s="7" t="str">
        <f t="shared" si="3"/>
        <v>0:09:00</v>
      </c>
      <c r="M5" s="7">
        <f t="shared" si="4"/>
        <v>9</v>
      </c>
      <c r="N5" s="7">
        <f t="shared" si="5"/>
        <v>4.34</v>
      </c>
      <c r="O5" s="7" t="str">
        <f t="shared" si="6"/>
        <v>Brutto</v>
      </c>
    </row>
    <row r="6" ht="14.25" customHeight="1">
      <c r="A6" s="1" t="s">
        <v>29</v>
      </c>
      <c r="B6" s="2" t="s">
        <v>24</v>
      </c>
      <c r="C6" s="2" t="s">
        <v>30</v>
      </c>
      <c r="D6" s="2" t="s">
        <v>17</v>
      </c>
      <c r="E6" s="2">
        <v>1.0</v>
      </c>
      <c r="F6" s="9">
        <v>0.11388888888888889</v>
      </c>
      <c r="G6" s="10" t="s">
        <v>31</v>
      </c>
      <c r="H6" s="5">
        <v>42.0</v>
      </c>
      <c r="I6" s="7" t="str">
        <f t="shared" si="1"/>
        <v>Più di 2 ore</v>
      </c>
      <c r="K6" s="7" t="str">
        <f t="shared" si="2"/>
        <v>More than 5 km</v>
      </c>
      <c r="L6" s="7" t="str">
        <f t="shared" si="3"/>
        <v>2:44:00</v>
      </c>
      <c r="M6" s="7">
        <f t="shared" si="4"/>
        <v>164</v>
      </c>
      <c r="N6" s="7">
        <f t="shared" si="5"/>
        <v>15.37</v>
      </c>
      <c r="O6" s="7" t="str">
        <f t="shared" si="6"/>
        <v>Brutto</v>
      </c>
    </row>
    <row r="7" ht="14.25" customHeight="1">
      <c r="A7" s="11" t="s">
        <v>32</v>
      </c>
      <c r="B7" s="2" t="s">
        <v>24</v>
      </c>
      <c r="C7" s="2" t="s">
        <v>30</v>
      </c>
      <c r="D7" s="5" t="s">
        <v>17</v>
      </c>
      <c r="E7" s="2">
        <v>0.0</v>
      </c>
      <c r="F7" s="9">
        <v>0.041666666666666664</v>
      </c>
      <c r="G7" s="10" t="s">
        <v>33</v>
      </c>
      <c r="H7" s="5">
        <v>29.0</v>
      </c>
      <c r="I7" s="7" t="str">
        <f t="shared" si="1"/>
        <v>Tra 1 e 2 ore</v>
      </c>
      <c r="K7" s="7" t="str">
        <f t="shared" si="2"/>
        <v>More than 5 km</v>
      </c>
      <c r="L7" s="7" t="str">
        <f t="shared" si="3"/>
        <v>1:00:00</v>
      </c>
      <c r="M7" s="7">
        <f t="shared" si="4"/>
        <v>60</v>
      </c>
      <c r="N7" s="7">
        <f t="shared" si="5"/>
        <v>29</v>
      </c>
      <c r="O7" s="7" t="str">
        <f t="shared" si="6"/>
        <v>Brutto</v>
      </c>
    </row>
    <row r="8" ht="14.25" customHeight="1">
      <c r="A8" s="1" t="s">
        <v>34</v>
      </c>
      <c r="B8" s="2" t="s">
        <v>24</v>
      </c>
      <c r="C8" s="2" t="s">
        <v>30</v>
      </c>
      <c r="D8" s="5" t="s">
        <v>17</v>
      </c>
      <c r="E8" s="2">
        <v>0.0</v>
      </c>
      <c r="F8" s="9">
        <v>0.0375</v>
      </c>
      <c r="G8" s="11" t="s">
        <v>35</v>
      </c>
      <c r="H8" s="5">
        <v>27.8</v>
      </c>
      <c r="I8" s="7" t="str">
        <f t="shared" si="1"/>
        <v>Meno di un'ora</v>
      </c>
      <c r="K8" s="7" t="str">
        <f t="shared" si="2"/>
        <v>More than 5 km</v>
      </c>
      <c r="L8" s="7" t="str">
        <f t="shared" si="3"/>
        <v>0:54:00</v>
      </c>
      <c r="M8" s="7">
        <f t="shared" si="4"/>
        <v>54</v>
      </c>
      <c r="N8" s="7">
        <f t="shared" si="5"/>
        <v>30.89</v>
      </c>
      <c r="O8" s="7" t="str">
        <f t="shared" si="6"/>
        <v>Brutto</v>
      </c>
    </row>
    <row r="9" ht="14.25" customHeight="1">
      <c r="A9" s="1" t="s">
        <v>36</v>
      </c>
      <c r="B9" s="2" t="s">
        <v>24</v>
      </c>
      <c r="C9" s="2" t="s">
        <v>30</v>
      </c>
      <c r="D9" s="5" t="s">
        <v>17</v>
      </c>
      <c r="E9" s="2">
        <v>0.0</v>
      </c>
      <c r="F9" s="9">
        <v>0.04652777777777778</v>
      </c>
      <c r="G9" s="12" t="s">
        <v>37</v>
      </c>
      <c r="H9" s="5">
        <v>30.1</v>
      </c>
      <c r="I9" s="7" t="str">
        <f t="shared" si="1"/>
        <v>Tra 1 e 2 ore</v>
      </c>
      <c r="K9" s="7" t="str">
        <f t="shared" si="2"/>
        <v>More than 5 km</v>
      </c>
      <c r="L9" s="7" t="str">
        <f t="shared" si="3"/>
        <v>1:07:00</v>
      </c>
      <c r="M9" s="7">
        <f t="shared" si="4"/>
        <v>67</v>
      </c>
      <c r="N9" s="7">
        <f t="shared" si="5"/>
        <v>26.96</v>
      </c>
      <c r="O9" s="7" t="str">
        <f t="shared" si="6"/>
        <v>Brutto</v>
      </c>
    </row>
    <row r="10" ht="14.25" customHeight="1">
      <c r="A10" s="1" t="s">
        <v>38</v>
      </c>
      <c r="B10" s="2" t="s">
        <v>24</v>
      </c>
      <c r="C10" s="5" t="s">
        <v>39</v>
      </c>
      <c r="D10" s="5" t="s">
        <v>17</v>
      </c>
      <c r="E10" s="2">
        <v>5.0</v>
      </c>
      <c r="F10" s="9">
        <v>0.1951388888888889</v>
      </c>
      <c r="G10" s="12" t="s">
        <v>40</v>
      </c>
      <c r="H10" s="5">
        <v>139.0</v>
      </c>
      <c r="I10" s="7" t="str">
        <f t="shared" si="1"/>
        <v>Più di 2 ore</v>
      </c>
      <c r="K10" s="7" t="str">
        <f t="shared" si="2"/>
        <v>More than 5 km</v>
      </c>
      <c r="L10" s="7" t="str">
        <f t="shared" si="3"/>
        <v>4:41:00</v>
      </c>
      <c r="M10" s="7">
        <f t="shared" si="4"/>
        <v>281</v>
      </c>
      <c r="N10" s="7">
        <f t="shared" si="5"/>
        <v>29.68</v>
      </c>
      <c r="O10" s="7" t="str">
        <f t="shared" si="6"/>
        <v>Brutto</v>
      </c>
    </row>
    <row r="11" ht="14.25" customHeight="1">
      <c r="A11" s="1" t="s">
        <v>41</v>
      </c>
      <c r="B11" s="2" t="s">
        <v>42</v>
      </c>
      <c r="C11" s="5" t="s">
        <v>43</v>
      </c>
      <c r="D11" s="5" t="s">
        <v>17</v>
      </c>
      <c r="E11" s="5">
        <v>1.0</v>
      </c>
      <c r="F11" s="13">
        <v>0.0625</v>
      </c>
      <c r="G11" s="11" t="s">
        <v>44</v>
      </c>
      <c r="H11" s="5">
        <v>41.0</v>
      </c>
      <c r="I11" s="7" t="str">
        <f t="shared" si="1"/>
        <v>Tra 1 e 2 ore</v>
      </c>
      <c r="K11" s="7" t="str">
        <f t="shared" si="2"/>
        <v>More than 5 km</v>
      </c>
      <c r="L11" s="7" t="str">
        <f t="shared" si="3"/>
        <v>1:30:00</v>
      </c>
      <c r="M11" s="7">
        <f t="shared" si="4"/>
        <v>90</v>
      </c>
      <c r="N11" s="7">
        <f t="shared" si="5"/>
        <v>27.34</v>
      </c>
      <c r="O11" s="7" t="str">
        <f t="shared" si="6"/>
        <v>Brutto</v>
      </c>
    </row>
    <row r="12" ht="14.25" customHeight="1">
      <c r="A12" s="11" t="s">
        <v>45</v>
      </c>
      <c r="B12" s="2" t="s">
        <v>24</v>
      </c>
      <c r="C12" s="5" t="s">
        <v>39</v>
      </c>
      <c r="D12" s="5" t="s">
        <v>17</v>
      </c>
      <c r="E12" s="2">
        <v>2.0</v>
      </c>
      <c r="F12" s="13">
        <v>0.059722222222222225</v>
      </c>
      <c r="G12" s="12" t="s">
        <v>46</v>
      </c>
      <c r="H12" s="5">
        <v>26.2</v>
      </c>
      <c r="I12" s="7" t="str">
        <f t="shared" si="1"/>
        <v>Tra 1 e 2 ore</v>
      </c>
      <c r="K12" s="7" t="str">
        <f t="shared" si="2"/>
        <v>More than 5 km</v>
      </c>
      <c r="L12" s="7" t="str">
        <f t="shared" si="3"/>
        <v>1:26:00</v>
      </c>
      <c r="M12" s="7">
        <f t="shared" si="4"/>
        <v>86</v>
      </c>
      <c r="N12" s="7">
        <f t="shared" si="5"/>
        <v>18.28</v>
      </c>
      <c r="O12" s="7" t="str">
        <f t="shared" si="6"/>
        <v>Brutto</v>
      </c>
    </row>
    <row r="13" ht="14.25" customHeight="1">
      <c r="A13" s="1" t="s">
        <v>47</v>
      </c>
      <c r="B13" s="2" t="s">
        <v>24</v>
      </c>
      <c r="C13" s="5" t="s">
        <v>39</v>
      </c>
      <c r="D13" s="5" t="s">
        <v>17</v>
      </c>
      <c r="E13" s="2">
        <v>0.0</v>
      </c>
      <c r="F13" s="9">
        <v>0.013888888888888888</v>
      </c>
      <c r="G13" s="11" t="s">
        <v>48</v>
      </c>
      <c r="H13" s="5">
        <v>6.3</v>
      </c>
      <c r="I13" s="7" t="str">
        <f t="shared" si="1"/>
        <v>Meno di un'ora</v>
      </c>
      <c r="K13" s="7" t="str">
        <f t="shared" si="2"/>
        <v>More than 5 km</v>
      </c>
      <c r="L13" s="7" t="str">
        <f t="shared" si="3"/>
        <v>0:20:00</v>
      </c>
      <c r="M13" s="7">
        <f t="shared" si="4"/>
        <v>20</v>
      </c>
      <c r="N13" s="7">
        <f t="shared" si="5"/>
        <v>18.9</v>
      </c>
      <c r="O13" s="7" t="str">
        <f t="shared" si="6"/>
        <v>Brutto</v>
      </c>
    </row>
    <row r="14" ht="14.25" customHeight="1">
      <c r="A14" s="1" t="s">
        <v>49</v>
      </c>
      <c r="B14" s="2" t="s">
        <v>24</v>
      </c>
      <c r="C14" s="5" t="s">
        <v>39</v>
      </c>
      <c r="D14" s="5" t="s">
        <v>17</v>
      </c>
      <c r="E14" s="2">
        <v>0.0</v>
      </c>
      <c r="F14" s="9">
        <v>0.017361111111111112</v>
      </c>
      <c r="G14" s="14" t="s">
        <v>50</v>
      </c>
      <c r="H14" s="5">
        <v>6.2</v>
      </c>
      <c r="I14" s="7" t="str">
        <f t="shared" si="1"/>
        <v>Meno di un'ora</v>
      </c>
      <c r="K14" s="7" t="str">
        <f t="shared" si="2"/>
        <v>More than 5 km</v>
      </c>
      <c r="L14" s="7" t="str">
        <f t="shared" si="3"/>
        <v>0:25:00</v>
      </c>
      <c r="M14" s="7">
        <f t="shared" si="4"/>
        <v>25</v>
      </c>
      <c r="N14" s="7">
        <f t="shared" si="5"/>
        <v>14.88</v>
      </c>
      <c r="O14" s="7" t="str">
        <f t="shared" si="6"/>
        <v>Brutto</v>
      </c>
    </row>
    <row r="15" ht="14.25" customHeight="1">
      <c r="A15" s="1" t="s">
        <v>51</v>
      </c>
      <c r="B15" s="2" t="s">
        <v>24</v>
      </c>
      <c r="C15" s="5" t="s">
        <v>39</v>
      </c>
      <c r="D15" s="5" t="s">
        <v>17</v>
      </c>
      <c r="E15" s="2">
        <v>0.0</v>
      </c>
      <c r="F15" s="9">
        <v>0.011111111111111112</v>
      </c>
      <c r="G15" s="1" t="s">
        <v>52</v>
      </c>
      <c r="H15" s="5">
        <v>3.4</v>
      </c>
      <c r="I15" s="7" t="str">
        <f t="shared" si="1"/>
        <v>Meno di un'ora</v>
      </c>
      <c r="K15" s="7" t="str">
        <f t="shared" si="2"/>
        <v>Less than 5km</v>
      </c>
      <c r="L15" s="7" t="str">
        <f t="shared" si="3"/>
        <v>0:16:00</v>
      </c>
      <c r="M15" s="7">
        <f t="shared" si="4"/>
        <v>16</v>
      </c>
      <c r="N15" s="7">
        <f t="shared" si="5"/>
        <v>12.75</v>
      </c>
      <c r="O15" s="7" t="str">
        <f t="shared" si="6"/>
        <v>Brutto</v>
      </c>
    </row>
    <row r="16" ht="14.25" customHeight="1">
      <c r="A16" s="1" t="s">
        <v>53</v>
      </c>
      <c r="B16" s="2" t="s">
        <v>24</v>
      </c>
      <c r="C16" s="5" t="s">
        <v>39</v>
      </c>
      <c r="D16" s="5" t="s">
        <v>17</v>
      </c>
      <c r="E16" s="2">
        <v>0.0</v>
      </c>
      <c r="F16" s="9">
        <v>0.02361111111111111</v>
      </c>
      <c r="G16" s="11" t="s">
        <v>54</v>
      </c>
      <c r="H16" s="5">
        <v>7.2</v>
      </c>
      <c r="I16" s="7" t="str">
        <f t="shared" si="1"/>
        <v>Meno di un'ora</v>
      </c>
      <c r="K16" s="7" t="str">
        <f t="shared" si="2"/>
        <v>More than 5 km</v>
      </c>
      <c r="L16" s="7" t="str">
        <f t="shared" si="3"/>
        <v>0:34:00</v>
      </c>
      <c r="M16" s="7">
        <f t="shared" si="4"/>
        <v>34</v>
      </c>
      <c r="N16" s="7">
        <f t="shared" si="5"/>
        <v>12.71</v>
      </c>
      <c r="O16" s="7" t="str">
        <f t="shared" si="6"/>
        <v>Brutto</v>
      </c>
    </row>
    <row r="17" ht="14.25" customHeight="1">
      <c r="A17" s="1" t="s">
        <v>55</v>
      </c>
      <c r="B17" s="2" t="s">
        <v>42</v>
      </c>
      <c r="C17" s="5" t="s">
        <v>56</v>
      </c>
      <c r="D17" s="5" t="s">
        <v>17</v>
      </c>
      <c r="E17" s="2">
        <v>2.0</v>
      </c>
      <c r="F17" s="9">
        <v>0.07152777777777779</v>
      </c>
      <c r="G17" s="11" t="s">
        <v>57</v>
      </c>
      <c r="H17" s="5">
        <v>44.4</v>
      </c>
      <c r="I17" s="7" t="str">
        <f t="shared" si="1"/>
        <v>Tra 1 e 2 ore</v>
      </c>
      <c r="K17" s="7" t="str">
        <f t="shared" si="2"/>
        <v>More than 5 km</v>
      </c>
      <c r="L17" s="7" t="str">
        <f t="shared" si="3"/>
        <v>1:43:00</v>
      </c>
      <c r="M17" s="7">
        <f t="shared" si="4"/>
        <v>103</v>
      </c>
      <c r="N17" s="7">
        <f t="shared" si="5"/>
        <v>25.87</v>
      </c>
      <c r="O17" s="7" t="str">
        <f t="shared" si="6"/>
        <v>Brutto</v>
      </c>
    </row>
    <row r="18" ht="14.25" customHeight="1">
      <c r="A18" s="1" t="s">
        <v>58</v>
      </c>
      <c r="B18" s="2" t="s">
        <v>15</v>
      </c>
      <c r="C18" s="5" t="s">
        <v>16</v>
      </c>
      <c r="D18" s="5" t="s">
        <v>17</v>
      </c>
      <c r="E18" s="2">
        <v>2.0</v>
      </c>
      <c r="F18" s="9">
        <v>0.09027777777777778</v>
      </c>
      <c r="G18" s="15" t="s">
        <v>59</v>
      </c>
      <c r="H18" s="5">
        <v>47.8</v>
      </c>
      <c r="I18" s="7" t="str">
        <f t="shared" si="1"/>
        <v>Più di 2 ore</v>
      </c>
      <c r="K18" s="7" t="str">
        <f t="shared" si="2"/>
        <v>More than 5 km</v>
      </c>
      <c r="L18" s="7" t="str">
        <f t="shared" si="3"/>
        <v>2:10:00</v>
      </c>
      <c r="M18" s="7">
        <f t="shared" si="4"/>
        <v>130</v>
      </c>
      <c r="N18" s="7">
        <f t="shared" si="5"/>
        <v>22.07</v>
      </c>
      <c r="O18" s="7" t="str">
        <f t="shared" si="6"/>
        <v>Brutto</v>
      </c>
    </row>
    <row r="19" ht="14.25" customHeight="1">
      <c r="A19" s="1" t="s">
        <v>60</v>
      </c>
      <c r="B19" s="2" t="s">
        <v>24</v>
      </c>
      <c r="C19" s="5" t="s">
        <v>39</v>
      </c>
      <c r="D19" s="5" t="s">
        <v>17</v>
      </c>
      <c r="E19" s="2">
        <v>0.0</v>
      </c>
      <c r="F19" s="9">
        <v>0.03333333333333333</v>
      </c>
      <c r="G19" s="11" t="s">
        <v>61</v>
      </c>
      <c r="H19" s="5">
        <v>13.9</v>
      </c>
      <c r="I19" s="7" t="str">
        <f t="shared" si="1"/>
        <v>Meno di un'ora</v>
      </c>
      <c r="K19" s="7" t="str">
        <f t="shared" si="2"/>
        <v>More than 5 km</v>
      </c>
      <c r="L19" s="7" t="str">
        <f t="shared" si="3"/>
        <v>0:48:00</v>
      </c>
      <c r="M19" s="7">
        <f t="shared" si="4"/>
        <v>48</v>
      </c>
      <c r="N19" s="7">
        <f t="shared" si="5"/>
        <v>17.38</v>
      </c>
      <c r="O19" s="7" t="str">
        <f t="shared" si="6"/>
        <v>Brutto</v>
      </c>
    </row>
    <row r="20" ht="14.25" customHeight="1">
      <c r="A20" s="1" t="s">
        <v>62</v>
      </c>
      <c r="B20" s="2" t="s">
        <v>24</v>
      </c>
      <c r="C20" s="5" t="s">
        <v>63</v>
      </c>
      <c r="D20" s="5" t="s">
        <v>17</v>
      </c>
      <c r="E20" s="2">
        <v>0.0</v>
      </c>
      <c r="F20" s="9">
        <v>0.012499999999999999</v>
      </c>
      <c r="G20" s="11" t="s">
        <v>64</v>
      </c>
      <c r="H20" s="5">
        <v>3.4</v>
      </c>
      <c r="I20" s="7" t="str">
        <f t="shared" si="1"/>
        <v>Meno di un'ora</v>
      </c>
      <c r="K20" s="7" t="str">
        <f t="shared" si="2"/>
        <v>Less than 5km</v>
      </c>
      <c r="L20" s="7" t="str">
        <f t="shared" si="3"/>
        <v>0:18:00</v>
      </c>
      <c r="M20" s="7">
        <f t="shared" si="4"/>
        <v>18</v>
      </c>
      <c r="N20" s="7">
        <f t="shared" si="5"/>
        <v>11.34</v>
      </c>
      <c r="O20" s="7" t="str">
        <f t="shared" si="6"/>
        <v>Brutto</v>
      </c>
    </row>
    <row r="21" ht="14.25" customHeight="1">
      <c r="A21" s="1" t="s">
        <v>65</v>
      </c>
      <c r="B21" s="2" t="s">
        <v>66</v>
      </c>
      <c r="C21" s="5" t="s">
        <v>67</v>
      </c>
      <c r="D21" s="5" t="s">
        <v>17</v>
      </c>
      <c r="E21" s="2">
        <v>4.0</v>
      </c>
      <c r="F21" s="9">
        <v>0.06527777777777778</v>
      </c>
      <c r="G21" s="15" t="s">
        <v>68</v>
      </c>
      <c r="H21" s="5">
        <v>27.0</v>
      </c>
      <c r="I21" s="7" t="str">
        <f t="shared" si="1"/>
        <v>Tra 1 e 2 ore</v>
      </c>
      <c r="K21" s="7" t="str">
        <f t="shared" si="2"/>
        <v>More than 5 km</v>
      </c>
      <c r="L21" s="7" t="str">
        <f t="shared" si="3"/>
        <v>1:34:00</v>
      </c>
      <c r="M21" s="7">
        <f t="shared" si="4"/>
        <v>94</v>
      </c>
      <c r="N21" s="7">
        <f t="shared" si="5"/>
        <v>17.24</v>
      </c>
      <c r="O21" s="7" t="str">
        <f t="shared" si="6"/>
        <v>Brutto</v>
      </c>
    </row>
    <row r="22" ht="14.25" customHeight="1">
      <c r="A22" s="1" t="s">
        <v>69</v>
      </c>
      <c r="B22" s="2" t="s">
        <v>24</v>
      </c>
      <c r="C22" s="5" t="s">
        <v>70</v>
      </c>
      <c r="D22" s="2" t="s">
        <v>17</v>
      </c>
      <c r="E22" s="2">
        <v>0.0</v>
      </c>
      <c r="F22" s="9">
        <v>0.011111111111111112</v>
      </c>
      <c r="G22" s="15" t="s">
        <v>71</v>
      </c>
      <c r="H22" s="5">
        <v>2.9</v>
      </c>
      <c r="I22" s="7" t="str">
        <f t="shared" si="1"/>
        <v>Meno di un'ora</v>
      </c>
      <c r="K22" s="7" t="str">
        <f t="shared" si="2"/>
        <v>Less than 5km</v>
      </c>
      <c r="L22" s="7" t="str">
        <f t="shared" si="3"/>
        <v>0:16:00</v>
      </c>
      <c r="M22" s="7">
        <f t="shared" si="4"/>
        <v>16</v>
      </c>
      <c r="N22" s="7">
        <f t="shared" si="5"/>
        <v>10.88</v>
      </c>
      <c r="O22" s="7" t="str">
        <f t="shared" si="6"/>
        <v>Brutto</v>
      </c>
    </row>
    <row r="23" ht="14.25" customHeight="1">
      <c r="A23" s="1" t="s">
        <v>72</v>
      </c>
      <c r="B23" s="2" t="s">
        <v>73</v>
      </c>
      <c r="C23" s="5" t="s">
        <v>70</v>
      </c>
      <c r="D23" s="2" t="s">
        <v>17</v>
      </c>
      <c r="E23" s="2">
        <v>1.0</v>
      </c>
      <c r="F23" s="9">
        <v>0.013194444444444444</v>
      </c>
      <c r="G23" s="15" t="s">
        <v>74</v>
      </c>
      <c r="H23" s="5">
        <v>2.5</v>
      </c>
      <c r="I23" s="7" t="str">
        <f t="shared" si="1"/>
        <v>Meno di un'ora</v>
      </c>
      <c r="K23" s="7" t="str">
        <f t="shared" si="2"/>
        <v>Less than 5km</v>
      </c>
      <c r="L23" s="7" t="str">
        <f t="shared" si="3"/>
        <v>0:19:00</v>
      </c>
      <c r="M23" s="7">
        <f t="shared" si="4"/>
        <v>19</v>
      </c>
      <c r="N23" s="7">
        <f t="shared" si="5"/>
        <v>7.9</v>
      </c>
      <c r="O23" s="7" t="str">
        <f t="shared" si="6"/>
        <v>Brutto</v>
      </c>
    </row>
    <row r="24" ht="14.25" customHeight="1">
      <c r="A24" s="1" t="s">
        <v>75</v>
      </c>
      <c r="B24" s="2" t="s">
        <v>66</v>
      </c>
      <c r="C24" s="5" t="s">
        <v>67</v>
      </c>
      <c r="D24" s="5" t="s">
        <v>17</v>
      </c>
      <c r="E24" s="2">
        <v>0.0</v>
      </c>
      <c r="F24" s="9">
        <v>0.03888888888888889</v>
      </c>
      <c r="G24" s="15" t="s">
        <v>76</v>
      </c>
      <c r="H24" s="5">
        <v>20.7</v>
      </c>
      <c r="I24" s="7" t="str">
        <f t="shared" si="1"/>
        <v>Meno di un'ora</v>
      </c>
      <c r="K24" s="7" t="str">
        <f t="shared" si="2"/>
        <v>More than 5 km</v>
      </c>
      <c r="L24" s="7" t="str">
        <f t="shared" si="3"/>
        <v>0:56:00</v>
      </c>
      <c r="M24" s="7">
        <f t="shared" si="4"/>
        <v>56</v>
      </c>
      <c r="N24" s="7">
        <f t="shared" si="5"/>
        <v>22.18</v>
      </c>
      <c r="O24" s="7" t="str">
        <f t="shared" si="6"/>
        <v>Brutto</v>
      </c>
    </row>
    <row r="25" ht="14.25" customHeight="1">
      <c r="A25" s="1" t="s">
        <v>77</v>
      </c>
      <c r="B25" s="2" t="s">
        <v>42</v>
      </c>
      <c r="C25" s="5" t="s">
        <v>78</v>
      </c>
      <c r="D25" s="2" t="s">
        <v>17</v>
      </c>
      <c r="E25" s="2">
        <v>0.0</v>
      </c>
      <c r="F25" s="9">
        <v>0.017361111111111112</v>
      </c>
      <c r="G25" s="15" t="s">
        <v>79</v>
      </c>
      <c r="H25" s="5">
        <v>2.0</v>
      </c>
      <c r="I25" s="7" t="str">
        <f t="shared" si="1"/>
        <v>Meno di un'ora</v>
      </c>
      <c r="K25" s="7" t="str">
        <f t="shared" si="2"/>
        <v>Less than 5km</v>
      </c>
      <c r="L25" s="7" t="str">
        <f t="shared" si="3"/>
        <v>0:25:00</v>
      </c>
      <c r="M25" s="7">
        <f t="shared" si="4"/>
        <v>25</v>
      </c>
      <c r="N25" s="7">
        <f t="shared" si="5"/>
        <v>4.8</v>
      </c>
      <c r="O25" s="7" t="str">
        <f t="shared" si="6"/>
        <v>Brutto</v>
      </c>
    </row>
    <row r="26" ht="14.25" customHeight="1">
      <c r="A26" s="1" t="s">
        <v>80</v>
      </c>
      <c r="B26" s="2" t="s">
        <v>42</v>
      </c>
      <c r="C26" s="5" t="s">
        <v>78</v>
      </c>
      <c r="D26" s="5" t="s">
        <v>17</v>
      </c>
      <c r="E26" s="2">
        <v>0.0</v>
      </c>
      <c r="F26" s="9">
        <v>0.020833333333333332</v>
      </c>
      <c r="G26" s="15" t="s">
        <v>81</v>
      </c>
      <c r="H26" s="5">
        <v>1.7</v>
      </c>
      <c r="I26" s="7" t="str">
        <f t="shared" si="1"/>
        <v>Meno di un'ora</v>
      </c>
      <c r="K26" s="7" t="str">
        <f t="shared" si="2"/>
        <v>Less than 5km</v>
      </c>
      <c r="L26" s="7" t="str">
        <f t="shared" si="3"/>
        <v>0:30:00</v>
      </c>
      <c r="M26" s="7">
        <f t="shared" si="4"/>
        <v>30</v>
      </c>
      <c r="N26" s="7">
        <f t="shared" si="5"/>
        <v>3.4</v>
      </c>
      <c r="O26" s="7" t="str">
        <f t="shared" si="6"/>
        <v>Brutto</v>
      </c>
    </row>
    <row r="27" ht="14.25" customHeight="1">
      <c r="A27" s="1" t="s">
        <v>82</v>
      </c>
      <c r="B27" s="2" t="s">
        <v>66</v>
      </c>
      <c r="C27" s="5" t="s">
        <v>83</v>
      </c>
      <c r="D27" s="5" t="s">
        <v>17</v>
      </c>
      <c r="E27" s="2">
        <v>4.0</v>
      </c>
      <c r="F27" s="9">
        <v>0.11319444444444444</v>
      </c>
      <c r="G27" s="11" t="s">
        <v>84</v>
      </c>
      <c r="H27" s="5">
        <v>8.5</v>
      </c>
      <c r="I27" s="7" t="str">
        <f t="shared" si="1"/>
        <v>Più di 2 ore</v>
      </c>
      <c r="K27" s="7" t="str">
        <f t="shared" si="2"/>
        <v>More than 5 km</v>
      </c>
      <c r="L27" s="7" t="str">
        <f t="shared" si="3"/>
        <v>2:43:00</v>
      </c>
      <c r="M27" s="7">
        <f t="shared" si="4"/>
        <v>163</v>
      </c>
      <c r="N27" s="7">
        <f t="shared" si="5"/>
        <v>3.13</v>
      </c>
      <c r="O27" s="7" t="str">
        <f t="shared" si="6"/>
        <v>Brutto</v>
      </c>
    </row>
    <row r="28" ht="14.25" customHeight="1">
      <c r="A28" s="1" t="s">
        <v>85</v>
      </c>
      <c r="B28" s="2" t="s">
        <v>42</v>
      </c>
      <c r="C28" s="2" t="s">
        <v>86</v>
      </c>
      <c r="D28" s="5" t="s">
        <v>17</v>
      </c>
      <c r="E28" s="2">
        <v>0.0</v>
      </c>
      <c r="F28" s="9">
        <v>0.05416666666666667</v>
      </c>
      <c r="G28" s="15" t="s">
        <v>87</v>
      </c>
      <c r="H28" s="5">
        <v>20.1</v>
      </c>
      <c r="I28" s="7" t="str">
        <f t="shared" si="1"/>
        <v>Tra 1 e 2 ore</v>
      </c>
      <c r="K28" s="7" t="str">
        <f t="shared" si="2"/>
        <v>More than 5 km</v>
      </c>
      <c r="L28" s="7" t="str">
        <f t="shared" si="3"/>
        <v>1:18:00</v>
      </c>
      <c r="M28" s="7">
        <f t="shared" si="4"/>
        <v>78</v>
      </c>
      <c r="N28" s="7">
        <f t="shared" si="5"/>
        <v>15.47</v>
      </c>
      <c r="O28" s="7" t="str">
        <f t="shared" si="6"/>
        <v>Brutto</v>
      </c>
    </row>
    <row r="29" ht="14.25" customHeight="1">
      <c r="A29" s="1" t="s">
        <v>88</v>
      </c>
      <c r="B29" s="2" t="s">
        <v>24</v>
      </c>
      <c r="C29" s="2" t="s">
        <v>89</v>
      </c>
      <c r="D29" s="5" t="s">
        <v>17</v>
      </c>
      <c r="E29" s="2">
        <v>0.0</v>
      </c>
      <c r="F29" s="9">
        <v>0.004861111111111111</v>
      </c>
      <c r="G29" s="15" t="s">
        <v>90</v>
      </c>
      <c r="H29" s="5">
        <v>0.95</v>
      </c>
      <c r="I29" s="7" t="str">
        <f t="shared" si="1"/>
        <v>Meno di un'ora</v>
      </c>
      <c r="K29" s="7" t="str">
        <f t="shared" si="2"/>
        <v>Less than 5km</v>
      </c>
      <c r="L29" s="7" t="str">
        <f t="shared" si="3"/>
        <v>0:07:00</v>
      </c>
      <c r="M29" s="7">
        <f t="shared" si="4"/>
        <v>7</v>
      </c>
      <c r="N29" s="7">
        <f t="shared" si="5"/>
        <v>8.15</v>
      </c>
      <c r="O29" s="7" t="str">
        <f t="shared" si="6"/>
        <v>Brutto</v>
      </c>
    </row>
    <row r="30" ht="14.25" customHeight="1">
      <c r="A30" s="1" t="s">
        <v>91</v>
      </c>
      <c r="B30" s="2" t="s">
        <v>66</v>
      </c>
      <c r="C30" s="2" t="s">
        <v>92</v>
      </c>
      <c r="D30" s="5" t="s">
        <v>17</v>
      </c>
      <c r="E30" s="2">
        <v>0.0</v>
      </c>
      <c r="F30" s="9">
        <v>0.042361111111111106</v>
      </c>
      <c r="G30" s="15" t="s">
        <v>93</v>
      </c>
      <c r="H30" s="5">
        <v>30.0</v>
      </c>
      <c r="I30" s="7" t="str">
        <f t="shared" si="1"/>
        <v>Tra 1 e 2 ore</v>
      </c>
      <c r="K30" s="7" t="str">
        <f t="shared" si="2"/>
        <v>More than 5 km</v>
      </c>
      <c r="L30" s="7" t="str">
        <f t="shared" si="3"/>
        <v>1:01:00</v>
      </c>
      <c r="M30" s="7">
        <f t="shared" si="4"/>
        <v>61</v>
      </c>
      <c r="N30" s="7">
        <f t="shared" si="5"/>
        <v>29.51</v>
      </c>
      <c r="O30" s="7" t="str">
        <f t="shared" si="6"/>
        <v>Brutto</v>
      </c>
    </row>
    <row r="31" ht="14.25" customHeight="1">
      <c r="A31" s="1" t="s">
        <v>94</v>
      </c>
      <c r="B31" s="2" t="s">
        <v>95</v>
      </c>
      <c r="C31" s="2" t="s">
        <v>96</v>
      </c>
      <c r="D31" s="5" t="s">
        <v>17</v>
      </c>
      <c r="E31" s="2">
        <v>0.0</v>
      </c>
      <c r="F31" s="13">
        <v>0.006944444444444444</v>
      </c>
      <c r="G31" s="1" t="s">
        <v>97</v>
      </c>
      <c r="H31" s="5">
        <v>2.2</v>
      </c>
      <c r="I31" s="7" t="str">
        <f t="shared" si="1"/>
        <v>Meno di un'ora</v>
      </c>
      <c r="K31" s="7" t="str">
        <f t="shared" si="2"/>
        <v>Less than 5km</v>
      </c>
      <c r="L31" s="7" t="str">
        <f t="shared" si="3"/>
        <v>0:10:00</v>
      </c>
      <c r="M31" s="7">
        <f t="shared" si="4"/>
        <v>10</v>
      </c>
      <c r="N31" s="7">
        <f t="shared" si="5"/>
        <v>13.2</v>
      </c>
      <c r="O31" s="7" t="str">
        <f t="shared" si="6"/>
        <v>Brutto</v>
      </c>
    </row>
    <row r="32" ht="14.25" customHeight="1">
      <c r="A32" s="1" t="s">
        <v>98</v>
      </c>
      <c r="B32" s="2" t="s">
        <v>95</v>
      </c>
      <c r="C32" s="2" t="s">
        <v>96</v>
      </c>
      <c r="D32" s="5" t="s">
        <v>17</v>
      </c>
      <c r="E32" s="2">
        <v>0.0</v>
      </c>
      <c r="F32" s="13">
        <v>0.052083333333333336</v>
      </c>
      <c r="G32" s="1" t="s">
        <v>99</v>
      </c>
      <c r="H32" s="5">
        <v>38.0</v>
      </c>
      <c r="I32" s="7" t="str">
        <f t="shared" si="1"/>
        <v>Tra 1 e 2 ore</v>
      </c>
      <c r="K32" s="7" t="str">
        <f t="shared" si="2"/>
        <v>More than 5 km</v>
      </c>
      <c r="L32" s="7" t="str">
        <f t="shared" si="3"/>
        <v>1:15:00</v>
      </c>
      <c r="M32" s="7">
        <f t="shared" si="4"/>
        <v>75</v>
      </c>
      <c r="N32" s="7">
        <f t="shared" si="5"/>
        <v>30.4</v>
      </c>
      <c r="O32" s="7" t="str">
        <f t="shared" si="6"/>
        <v>Brutto</v>
      </c>
    </row>
    <row r="33" ht="14.25" customHeight="1">
      <c r="A33" s="1" t="s">
        <v>100</v>
      </c>
      <c r="C33" s="2" t="s">
        <v>96</v>
      </c>
      <c r="D33" s="5" t="s">
        <v>17</v>
      </c>
      <c r="E33" s="2">
        <v>3.0</v>
      </c>
      <c r="F33" s="8">
        <v>0.11666666666666667</v>
      </c>
      <c r="G33" s="1" t="s">
        <v>101</v>
      </c>
      <c r="H33" s="5">
        <v>47.0</v>
      </c>
      <c r="I33" s="7" t="str">
        <f t="shared" si="1"/>
        <v>Più di 2 ore</v>
      </c>
      <c r="K33" s="7" t="str">
        <f t="shared" si="2"/>
        <v>More than 5 km</v>
      </c>
      <c r="L33" s="7" t="str">
        <f t="shared" si="3"/>
        <v>2:48:00</v>
      </c>
      <c r="M33" s="7">
        <f t="shared" si="4"/>
        <v>168</v>
      </c>
      <c r="N33" s="7">
        <f t="shared" si="5"/>
        <v>16.79</v>
      </c>
      <c r="O33" s="7" t="str">
        <f t="shared" si="6"/>
        <v>Brutto</v>
      </c>
    </row>
    <row r="34" ht="14.25" customHeight="1">
      <c r="A34" s="1" t="s">
        <v>102</v>
      </c>
      <c r="B34" s="2" t="s">
        <v>95</v>
      </c>
      <c r="C34" s="2" t="s">
        <v>96</v>
      </c>
      <c r="D34" s="5" t="s">
        <v>17</v>
      </c>
      <c r="E34" s="2">
        <v>3.0</v>
      </c>
      <c r="F34" s="8">
        <v>0.27361111111111114</v>
      </c>
      <c r="G34" s="1" t="s">
        <v>103</v>
      </c>
      <c r="H34" s="5">
        <v>44.0</v>
      </c>
      <c r="I34" s="7" t="str">
        <f t="shared" si="1"/>
        <v>Più di 2 ore</v>
      </c>
      <c r="K34" s="7" t="str">
        <f t="shared" si="2"/>
        <v>More than 5 km</v>
      </c>
      <c r="L34" s="7" t="str">
        <f t="shared" si="3"/>
        <v>6:34:00</v>
      </c>
      <c r="M34" s="7">
        <f t="shared" si="4"/>
        <v>394</v>
      </c>
      <c r="N34" s="7">
        <f t="shared" si="5"/>
        <v>6.71</v>
      </c>
      <c r="O34" s="7" t="str">
        <f t="shared" si="6"/>
        <v>Brutto</v>
      </c>
    </row>
    <row r="35" ht="14.25" customHeight="1">
      <c r="A35" s="1" t="s">
        <v>104</v>
      </c>
      <c r="B35" s="2" t="s">
        <v>95</v>
      </c>
      <c r="C35" s="2" t="s">
        <v>96</v>
      </c>
      <c r="D35" s="5" t="s">
        <v>17</v>
      </c>
      <c r="E35" s="2">
        <v>0.0</v>
      </c>
      <c r="F35" s="8">
        <v>0.058333333333333334</v>
      </c>
      <c r="G35" s="1" t="s">
        <v>105</v>
      </c>
      <c r="H35" s="5">
        <v>49.0</v>
      </c>
      <c r="I35" s="7" t="str">
        <f t="shared" si="1"/>
        <v>Tra 1 e 2 ore</v>
      </c>
      <c r="K35" s="7" t="str">
        <f t="shared" si="2"/>
        <v>More than 5 km</v>
      </c>
      <c r="L35" s="7" t="str">
        <f t="shared" si="3"/>
        <v>1:24:00</v>
      </c>
      <c r="M35" s="7">
        <f t="shared" si="4"/>
        <v>84</v>
      </c>
      <c r="N35" s="7">
        <f t="shared" si="5"/>
        <v>35</v>
      </c>
      <c r="O35" s="7" t="str">
        <f t="shared" si="6"/>
        <v>Brutto</v>
      </c>
    </row>
    <row r="36" ht="17.25" customHeight="1">
      <c r="A36" s="1" t="s">
        <v>106</v>
      </c>
      <c r="B36" s="2" t="s">
        <v>95</v>
      </c>
      <c r="C36" s="2" t="s">
        <v>107</v>
      </c>
      <c r="D36" s="5" t="s">
        <v>17</v>
      </c>
      <c r="E36" s="2">
        <v>2.0</v>
      </c>
      <c r="F36" s="8">
        <v>0.06944444444444445</v>
      </c>
      <c r="G36" s="1" t="s">
        <v>108</v>
      </c>
      <c r="H36" s="5">
        <v>33.0</v>
      </c>
      <c r="I36" s="7" t="str">
        <f t="shared" si="1"/>
        <v>Tra 1 e 2 ore</v>
      </c>
      <c r="K36" s="7" t="str">
        <f t="shared" si="2"/>
        <v>More than 5 km</v>
      </c>
      <c r="L36" s="7" t="str">
        <f t="shared" si="3"/>
        <v>1:40:00</v>
      </c>
      <c r="M36" s="7">
        <f t="shared" si="4"/>
        <v>100</v>
      </c>
      <c r="N36" s="7">
        <f t="shared" si="5"/>
        <v>19.8</v>
      </c>
      <c r="O36" s="7" t="str">
        <f t="shared" si="6"/>
        <v>Brutto</v>
      </c>
    </row>
    <row r="37" ht="14.25" customHeight="1">
      <c r="A37" s="1" t="s">
        <v>109</v>
      </c>
      <c r="B37" s="2" t="s">
        <v>95</v>
      </c>
      <c r="C37" s="2" t="s">
        <v>107</v>
      </c>
      <c r="D37" s="5" t="s">
        <v>17</v>
      </c>
      <c r="E37" s="2">
        <v>0.0</v>
      </c>
      <c r="F37" s="13">
        <v>0.034027777777777775</v>
      </c>
      <c r="G37" s="1" t="s">
        <v>110</v>
      </c>
      <c r="H37" s="5">
        <v>11.0</v>
      </c>
      <c r="I37" s="7" t="str">
        <f t="shared" si="1"/>
        <v>Meno di un'ora</v>
      </c>
      <c r="K37" s="7" t="str">
        <f t="shared" si="2"/>
        <v>More than 5 km</v>
      </c>
      <c r="L37" s="7" t="str">
        <f t="shared" si="3"/>
        <v>0:49:00</v>
      </c>
      <c r="M37" s="7">
        <f t="shared" si="4"/>
        <v>49</v>
      </c>
      <c r="N37" s="7">
        <f t="shared" si="5"/>
        <v>13.47</v>
      </c>
      <c r="O37" s="7" t="str">
        <f t="shared" si="6"/>
        <v>Brutto</v>
      </c>
    </row>
    <row r="38" ht="14.25" customHeight="1">
      <c r="A38" s="1" t="s">
        <v>111</v>
      </c>
      <c r="B38" s="2" t="s">
        <v>112</v>
      </c>
      <c r="C38" s="2" t="s">
        <v>113</v>
      </c>
      <c r="D38" s="5" t="s">
        <v>17</v>
      </c>
      <c r="E38" s="2">
        <v>1.0</v>
      </c>
      <c r="F38" s="13">
        <v>0.034722222222222224</v>
      </c>
      <c r="G38" s="1" t="s">
        <v>114</v>
      </c>
      <c r="H38" s="5">
        <v>24.0</v>
      </c>
      <c r="I38" s="7" t="str">
        <f t="shared" si="1"/>
        <v>Meno di un'ora</v>
      </c>
      <c r="K38" s="7" t="str">
        <f t="shared" si="2"/>
        <v>More than 5 km</v>
      </c>
      <c r="L38" s="7" t="str">
        <f t="shared" si="3"/>
        <v>0:50:00</v>
      </c>
      <c r="M38" s="7">
        <f t="shared" si="4"/>
        <v>50</v>
      </c>
      <c r="N38" s="7">
        <f t="shared" si="5"/>
        <v>28.8</v>
      </c>
      <c r="O38" s="7" t="str">
        <f t="shared" si="6"/>
        <v>Brutto</v>
      </c>
    </row>
    <row r="39" ht="14.25" customHeight="1">
      <c r="A39" s="1" t="s">
        <v>115</v>
      </c>
      <c r="B39" s="2" t="s">
        <v>116</v>
      </c>
      <c r="C39" s="2" t="s">
        <v>117</v>
      </c>
      <c r="D39" s="5" t="s">
        <v>17</v>
      </c>
      <c r="E39" s="2">
        <v>2.0</v>
      </c>
      <c r="F39" s="8">
        <v>0.13333333333333333</v>
      </c>
      <c r="G39" s="1" t="s">
        <v>118</v>
      </c>
      <c r="H39" s="5">
        <v>117.0</v>
      </c>
      <c r="I39" s="7" t="str">
        <f t="shared" si="1"/>
        <v>Più di 2 ore</v>
      </c>
      <c r="K39" s="7" t="str">
        <f t="shared" si="2"/>
        <v>More than 5 km</v>
      </c>
      <c r="L39" s="7" t="str">
        <f t="shared" si="3"/>
        <v>3:12:00</v>
      </c>
      <c r="M39" s="7">
        <f t="shared" si="4"/>
        <v>192</v>
      </c>
      <c r="N39" s="7">
        <f t="shared" si="5"/>
        <v>36.57</v>
      </c>
      <c r="O39" s="7" t="str">
        <f t="shared" si="6"/>
        <v>Brutto</v>
      </c>
    </row>
    <row r="40" ht="18.0" customHeight="1">
      <c r="A40" s="1" t="s">
        <v>119</v>
      </c>
      <c r="B40" s="2" t="s">
        <v>112</v>
      </c>
      <c r="C40" s="2" t="s">
        <v>120</v>
      </c>
      <c r="D40" s="5" t="s">
        <v>17</v>
      </c>
      <c r="E40" s="2">
        <v>2.0</v>
      </c>
      <c r="F40" s="8">
        <v>0.059722222222222225</v>
      </c>
      <c r="G40" s="1" t="s">
        <v>121</v>
      </c>
      <c r="H40" s="5">
        <v>39.0</v>
      </c>
      <c r="I40" s="7" t="str">
        <f t="shared" si="1"/>
        <v>Tra 1 e 2 ore</v>
      </c>
      <c r="K40" s="7" t="str">
        <f t="shared" si="2"/>
        <v>More than 5 km</v>
      </c>
      <c r="L40" s="7" t="str">
        <f t="shared" si="3"/>
        <v>1:26:00</v>
      </c>
      <c r="M40" s="7">
        <f t="shared" si="4"/>
        <v>86</v>
      </c>
      <c r="N40" s="7">
        <f t="shared" si="5"/>
        <v>27.21</v>
      </c>
      <c r="O40" s="7" t="str">
        <f t="shared" si="6"/>
        <v>Brutto</v>
      </c>
    </row>
    <row r="41" ht="14.25" customHeight="1">
      <c r="A41" s="1" t="s">
        <v>122</v>
      </c>
      <c r="B41" s="2" t="s">
        <v>123</v>
      </c>
      <c r="C41" s="2" t="s">
        <v>124</v>
      </c>
      <c r="D41" s="5" t="s">
        <v>17</v>
      </c>
      <c r="E41" s="2">
        <v>2.0</v>
      </c>
      <c r="F41" s="8">
        <v>0.05277777777777778</v>
      </c>
      <c r="G41" s="1" t="s">
        <v>125</v>
      </c>
      <c r="H41" s="5">
        <v>19.0</v>
      </c>
      <c r="I41" s="7" t="str">
        <f t="shared" si="1"/>
        <v>Tra 1 e 2 ore</v>
      </c>
      <c r="K41" s="7" t="str">
        <f t="shared" si="2"/>
        <v>More than 5 km</v>
      </c>
      <c r="L41" s="7" t="str">
        <f t="shared" si="3"/>
        <v>1:16:00</v>
      </c>
      <c r="M41" s="7">
        <f t="shared" si="4"/>
        <v>76</v>
      </c>
      <c r="N41" s="7">
        <f t="shared" si="5"/>
        <v>15</v>
      </c>
      <c r="O41" s="7" t="str">
        <f t="shared" si="6"/>
        <v>Brutto</v>
      </c>
    </row>
    <row r="42" ht="14.25" customHeight="1">
      <c r="A42" s="1" t="s">
        <v>126</v>
      </c>
      <c r="B42" s="2" t="s">
        <v>127</v>
      </c>
      <c r="C42" s="2" t="s">
        <v>128</v>
      </c>
      <c r="D42" s="2" t="s">
        <v>17</v>
      </c>
      <c r="E42" s="2">
        <v>2.0</v>
      </c>
      <c r="F42" s="8">
        <v>0.04652777777777778</v>
      </c>
      <c r="G42" s="1" t="s">
        <v>129</v>
      </c>
      <c r="H42" s="5">
        <v>22.8</v>
      </c>
      <c r="I42" s="7" t="str">
        <f t="shared" si="1"/>
        <v>Tra 1 e 2 ore</v>
      </c>
      <c r="K42" s="7" t="str">
        <f t="shared" si="2"/>
        <v>More than 5 km</v>
      </c>
      <c r="L42" s="7" t="str">
        <f t="shared" si="3"/>
        <v>1:07:00</v>
      </c>
      <c r="M42" s="7">
        <f t="shared" si="4"/>
        <v>67</v>
      </c>
      <c r="N42" s="7">
        <f t="shared" si="5"/>
        <v>20.42</v>
      </c>
      <c r="O42" s="7" t="str">
        <f t="shared" si="6"/>
        <v>Brutto</v>
      </c>
    </row>
    <row r="43" ht="14.25" customHeight="1">
      <c r="A43" s="1" t="s">
        <v>130</v>
      </c>
      <c r="B43" s="2" t="s">
        <v>116</v>
      </c>
      <c r="C43" s="2" t="s">
        <v>131</v>
      </c>
      <c r="D43" s="5" t="s">
        <v>17</v>
      </c>
      <c r="E43" s="2">
        <v>3.0</v>
      </c>
      <c r="F43" s="8">
        <v>0.14027777777777778</v>
      </c>
      <c r="G43" s="1" t="s">
        <v>132</v>
      </c>
      <c r="H43" s="5">
        <v>62.0</v>
      </c>
      <c r="I43" s="7" t="str">
        <f t="shared" si="1"/>
        <v>Più di 2 ore</v>
      </c>
      <c r="K43" s="7" t="str">
        <f t="shared" si="2"/>
        <v>More than 5 km</v>
      </c>
      <c r="L43" s="7" t="str">
        <f t="shared" si="3"/>
        <v>3:22:00</v>
      </c>
      <c r="M43" s="7">
        <f t="shared" si="4"/>
        <v>202</v>
      </c>
      <c r="N43" s="7">
        <f t="shared" si="5"/>
        <v>18.42</v>
      </c>
      <c r="O43" s="7" t="str">
        <f t="shared" si="6"/>
        <v>Brutto</v>
      </c>
    </row>
    <row r="44" ht="14.25" customHeight="1">
      <c r="A44" s="1" t="s">
        <v>133</v>
      </c>
      <c r="B44" s="2" t="s">
        <v>112</v>
      </c>
      <c r="C44" s="2" t="s">
        <v>120</v>
      </c>
      <c r="D44" s="2" t="s">
        <v>17</v>
      </c>
      <c r="E44" s="2">
        <v>3.0</v>
      </c>
      <c r="F44" s="8">
        <v>0.13472222222222222</v>
      </c>
      <c r="G44" s="1" t="s">
        <v>134</v>
      </c>
      <c r="H44" s="5">
        <v>86.0</v>
      </c>
      <c r="I44" s="7" t="str">
        <f t="shared" si="1"/>
        <v>Più di 2 ore</v>
      </c>
      <c r="K44" s="7" t="str">
        <f t="shared" si="2"/>
        <v>More than 5 km</v>
      </c>
      <c r="L44" s="7" t="str">
        <f t="shared" si="3"/>
        <v>3:14:00</v>
      </c>
      <c r="M44" s="7">
        <f t="shared" si="4"/>
        <v>194</v>
      </c>
      <c r="N44" s="7">
        <f t="shared" si="5"/>
        <v>26.6</v>
      </c>
      <c r="O44" s="7" t="str">
        <f t="shared" si="6"/>
        <v>Brutto</v>
      </c>
    </row>
    <row r="45" ht="14.25" customHeight="1">
      <c r="A45" s="1" t="s">
        <v>135</v>
      </c>
      <c r="B45" s="2" t="s">
        <v>136</v>
      </c>
      <c r="C45" s="2" t="s">
        <v>137</v>
      </c>
      <c r="D45" s="2" t="s">
        <v>17</v>
      </c>
      <c r="E45" s="2">
        <v>2.0</v>
      </c>
      <c r="F45" s="8">
        <v>0.05694444444444444</v>
      </c>
      <c r="G45" s="1" t="s">
        <v>138</v>
      </c>
      <c r="H45" s="5">
        <v>33.5</v>
      </c>
      <c r="I45" s="7" t="str">
        <f t="shared" si="1"/>
        <v>Tra 1 e 2 ore</v>
      </c>
      <c r="K45" s="7" t="str">
        <f t="shared" si="2"/>
        <v>More than 5 km</v>
      </c>
      <c r="L45" s="7" t="str">
        <f t="shared" si="3"/>
        <v>1:22:00</v>
      </c>
      <c r="M45" s="7">
        <f t="shared" si="4"/>
        <v>82</v>
      </c>
      <c r="N45" s="7">
        <f t="shared" si="5"/>
        <v>24.52</v>
      </c>
      <c r="O45" s="7" t="str">
        <f t="shared" si="6"/>
        <v>Brutto</v>
      </c>
    </row>
    <row r="46" ht="14.25" customHeight="1">
      <c r="A46" s="1" t="s">
        <v>139</v>
      </c>
      <c r="B46" s="2" t="s">
        <v>116</v>
      </c>
      <c r="C46" s="2" t="s">
        <v>140</v>
      </c>
      <c r="D46" s="4" t="s">
        <v>17</v>
      </c>
      <c r="E46" s="2">
        <v>1.0</v>
      </c>
      <c r="F46" s="8">
        <v>0.035416666666666666</v>
      </c>
      <c r="G46" s="1" t="s">
        <v>141</v>
      </c>
      <c r="H46" s="5">
        <v>34.0</v>
      </c>
      <c r="I46" s="7" t="str">
        <f t="shared" si="1"/>
        <v>Meno di un'ora</v>
      </c>
      <c r="K46" s="7" t="str">
        <f t="shared" si="2"/>
        <v>More than 5 km</v>
      </c>
      <c r="L46" s="7" t="str">
        <f t="shared" si="3"/>
        <v>0:51:00</v>
      </c>
      <c r="M46" s="7">
        <f t="shared" si="4"/>
        <v>51</v>
      </c>
      <c r="N46" s="7">
        <f t="shared" si="5"/>
        <v>40</v>
      </c>
      <c r="O46" s="7" t="str">
        <f t="shared" si="6"/>
        <v>Brutto</v>
      </c>
    </row>
    <row r="54" ht="14.25" customHeight="1">
      <c r="A54" s="1" t="s">
        <v>142</v>
      </c>
      <c r="B54" s="2" t="s">
        <v>143</v>
      </c>
      <c r="C54" s="2" t="s">
        <v>144</v>
      </c>
      <c r="D54" s="2" t="s">
        <v>145</v>
      </c>
      <c r="E54" s="2" t="s">
        <v>146</v>
      </c>
      <c r="F54" s="3"/>
      <c r="G54" s="1" t="s">
        <v>147</v>
      </c>
      <c r="H54" s="5">
        <v>44.0</v>
      </c>
      <c r="K54" s="7" t="str">
        <f t="shared" ref="K54:K64" si="7">IF(H54&lt;5,"Less than 5km", "More than 5 km")</f>
        <v>More than 5 km</v>
      </c>
    </row>
    <row r="55" ht="14.25" customHeight="1">
      <c r="A55" s="1" t="s">
        <v>148</v>
      </c>
      <c r="B55" s="2" t="s">
        <v>112</v>
      </c>
      <c r="C55" s="2" t="s">
        <v>149</v>
      </c>
      <c r="D55" s="5" t="s">
        <v>150</v>
      </c>
      <c r="F55" s="3"/>
      <c r="G55" s="1" t="s">
        <v>151</v>
      </c>
      <c r="H55" s="5">
        <v>74.0</v>
      </c>
      <c r="K55" s="7" t="str">
        <f t="shared" si="7"/>
        <v>More than 5 km</v>
      </c>
    </row>
    <row r="56" ht="14.25" customHeight="1">
      <c r="A56" s="1" t="s">
        <v>152</v>
      </c>
      <c r="B56" s="2" t="s">
        <v>153</v>
      </c>
      <c r="C56" s="2" t="s">
        <v>154</v>
      </c>
      <c r="D56" s="2" t="s">
        <v>150</v>
      </c>
      <c r="F56" s="3"/>
      <c r="G56" s="1" t="s">
        <v>155</v>
      </c>
      <c r="K56" s="7" t="str">
        <f t="shared" si="7"/>
        <v>Less than 5km</v>
      </c>
    </row>
    <row r="57" ht="14.25" customHeight="1">
      <c r="A57" s="1" t="s">
        <v>156</v>
      </c>
      <c r="B57" s="2" t="s">
        <v>153</v>
      </c>
      <c r="C57" s="2" t="s">
        <v>157</v>
      </c>
      <c r="D57" s="2" t="s">
        <v>150</v>
      </c>
      <c r="F57" s="3"/>
      <c r="G57" s="1" t="s">
        <v>158</v>
      </c>
      <c r="K57" s="7" t="str">
        <f t="shared" si="7"/>
        <v>Less than 5km</v>
      </c>
    </row>
    <row r="58" ht="14.25" customHeight="1">
      <c r="A58" s="1" t="s">
        <v>159</v>
      </c>
      <c r="B58" s="2" t="s">
        <v>153</v>
      </c>
      <c r="C58" s="2" t="s">
        <v>160</v>
      </c>
      <c r="D58" s="2" t="s">
        <v>145</v>
      </c>
      <c r="E58" s="2" t="s">
        <v>146</v>
      </c>
      <c r="F58" s="3"/>
      <c r="G58" s="1" t="s">
        <v>161</v>
      </c>
      <c r="H58" s="5">
        <v>4.0</v>
      </c>
      <c r="K58" s="7" t="str">
        <f t="shared" si="7"/>
        <v>Less than 5km</v>
      </c>
    </row>
    <row r="59" ht="14.25" customHeight="1">
      <c r="A59" s="1" t="s">
        <v>162</v>
      </c>
      <c r="B59" s="2" t="s">
        <v>153</v>
      </c>
      <c r="C59" s="2" t="s">
        <v>157</v>
      </c>
      <c r="D59" s="2" t="s">
        <v>150</v>
      </c>
      <c r="F59" s="3"/>
      <c r="G59" s="1" t="s">
        <v>163</v>
      </c>
      <c r="K59" s="7" t="str">
        <f t="shared" si="7"/>
        <v>Less than 5km</v>
      </c>
    </row>
    <row r="60" ht="14.25" customHeight="1">
      <c r="A60" s="10" t="s">
        <v>164</v>
      </c>
      <c r="B60" s="2" t="s">
        <v>24</v>
      </c>
      <c r="C60" s="5" t="s">
        <v>25</v>
      </c>
      <c r="D60" s="2" t="s">
        <v>145</v>
      </c>
      <c r="E60" s="2" t="s">
        <v>146</v>
      </c>
      <c r="F60" s="3"/>
      <c r="G60" s="10" t="s">
        <v>165</v>
      </c>
      <c r="H60" s="5">
        <v>3.6</v>
      </c>
      <c r="K60" s="7" t="str">
        <f t="shared" si="7"/>
        <v>Less than 5km</v>
      </c>
    </row>
    <row r="61" ht="14.25" customHeight="1">
      <c r="A61" s="1" t="s">
        <v>166</v>
      </c>
      <c r="B61" s="2" t="s">
        <v>167</v>
      </c>
      <c r="C61" s="2" t="s">
        <v>168</v>
      </c>
      <c r="D61" s="5" t="s">
        <v>145</v>
      </c>
      <c r="E61" s="2" t="s">
        <v>146</v>
      </c>
      <c r="F61" s="3"/>
      <c r="G61" s="1" t="s">
        <v>169</v>
      </c>
      <c r="H61" s="5">
        <v>42.0</v>
      </c>
      <c r="K61" s="7" t="str">
        <f t="shared" si="7"/>
        <v>More than 5 km</v>
      </c>
    </row>
    <row r="62" ht="14.25" customHeight="1">
      <c r="A62" s="1" t="s">
        <v>170</v>
      </c>
      <c r="B62" s="2" t="s">
        <v>167</v>
      </c>
      <c r="C62" s="2" t="s">
        <v>168</v>
      </c>
      <c r="D62" s="5" t="s">
        <v>145</v>
      </c>
      <c r="E62" s="2" t="s">
        <v>146</v>
      </c>
      <c r="F62" s="3"/>
      <c r="G62" s="1" t="s">
        <v>171</v>
      </c>
      <c r="H62" s="5">
        <v>42.0</v>
      </c>
      <c r="K62" s="7" t="str">
        <f t="shared" si="7"/>
        <v>More than 5 km</v>
      </c>
    </row>
    <row r="63" ht="14.25" customHeight="1">
      <c r="A63" s="1" t="s">
        <v>172</v>
      </c>
      <c r="B63" s="2" t="s">
        <v>173</v>
      </c>
      <c r="C63" s="2" t="s">
        <v>174</v>
      </c>
      <c r="D63" s="5" t="s">
        <v>145</v>
      </c>
      <c r="E63" s="2" t="s">
        <v>146</v>
      </c>
      <c r="F63" s="3"/>
      <c r="G63" s="1" t="s">
        <v>175</v>
      </c>
      <c r="H63" s="5">
        <v>18.0</v>
      </c>
      <c r="K63" s="7" t="str">
        <f t="shared" si="7"/>
        <v>More than 5 km</v>
      </c>
    </row>
    <row r="64" ht="14.25" customHeight="1">
      <c r="A64" s="1" t="s">
        <v>176</v>
      </c>
      <c r="B64" s="2" t="s">
        <v>177</v>
      </c>
      <c r="C64" s="2" t="s">
        <v>178</v>
      </c>
      <c r="D64" s="5" t="s">
        <v>145</v>
      </c>
      <c r="F64" s="3"/>
      <c r="G64" s="1" t="s">
        <v>179</v>
      </c>
      <c r="H64" s="5">
        <v>0.75</v>
      </c>
      <c r="K64" s="7" t="str">
        <f t="shared" si="7"/>
        <v>Less than 5km</v>
      </c>
    </row>
    <row r="65" ht="14.25" customHeight="1">
      <c r="A65" s="1" t="s">
        <v>180</v>
      </c>
      <c r="B65" s="2" t="s">
        <v>136</v>
      </c>
      <c r="C65" s="5" t="s">
        <v>181</v>
      </c>
      <c r="D65" s="5" t="s">
        <v>150</v>
      </c>
      <c r="E65" s="2" t="s">
        <v>146</v>
      </c>
      <c r="F65" s="3"/>
      <c r="G65" s="1" t="s">
        <v>182</v>
      </c>
    </row>
    <row r="66" ht="14.25" customHeight="1">
      <c r="A66" s="1" t="s">
        <v>183</v>
      </c>
      <c r="B66" s="2" t="s">
        <v>20</v>
      </c>
      <c r="C66" s="2" t="s">
        <v>184</v>
      </c>
      <c r="D66" s="5" t="s">
        <v>145</v>
      </c>
      <c r="E66" s="2" t="s">
        <v>146</v>
      </c>
      <c r="F66" s="3"/>
      <c r="G66" s="1" t="s">
        <v>185</v>
      </c>
      <c r="H66" s="5">
        <v>44.0</v>
      </c>
    </row>
    <row r="67" ht="14.25" customHeight="1">
      <c r="A67" s="1"/>
      <c r="F67" s="3"/>
      <c r="G67" s="1"/>
    </row>
    <row r="68" ht="14.25" customHeight="1">
      <c r="A68" s="1"/>
      <c r="F68" s="3"/>
      <c r="G68" s="1"/>
    </row>
    <row r="69" ht="14.25" customHeight="1">
      <c r="A69" s="1"/>
      <c r="F69" s="3"/>
      <c r="G69" s="1"/>
    </row>
    <row r="70" ht="14.25" customHeight="1">
      <c r="A70" s="1"/>
      <c r="F70" s="3"/>
      <c r="G70" s="1"/>
    </row>
    <row r="71" ht="14.25" customHeight="1">
      <c r="A71" s="1"/>
      <c r="F71" s="3"/>
      <c r="G71" s="1"/>
    </row>
    <row r="72" ht="14.25" customHeight="1">
      <c r="A72" s="1"/>
      <c r="F72" s="3"/>
      <c r="G72" s="1"/>
    </row>
    <row r="73" ht="14.25" customHeight="1">
      <c r="A73" s="1"/>
      <c r="F73" s="3"/>
      <c r="G73" s="1"/>
    </row>
    <row r="74" ht="14.25" customHeight="1">
      <c r="A74" s="1"/>
      <c r="F74" s="3"/>
      <c r="G74" s="1"/>
    </row>
    <row r="75" ht="14.25" customHeight="1">
      <c r="A75" s="1"/>
      <c r="F75" s="3"/>
      <c r="G75" s="1"/>
    </row>
    <row r="76" ht="14.25" customHeight="1">
      <c r="A76" s="1"/>
      <c r="F76" s="3"/>
      <c r="G76" s="1"/>
    </row>
    <row r="77" ht="14.25" customHeight="1">
      <c r="A77" s="1"/>
      <c r="F77" s="3"/>
      <c r="G77" s="1"/>
    </row>
    <row r="78" ht="14.25" customHeight="1">
      <c r="A78" s="1"/>
      <c r="F78" s="3"/>
      <c r="G78" s="1"/>
    </row>
    <row r="79" ht="14.25" customHeight="1">
      <c r="A79" s="1"/>
      <c r="F79" s="3"/>
      <c r="G79" s="1"/>
    </row>
    <row r="80" ht="14.25" customHeight="1">
      <c r="A80" s="1"/>
      <c r="F80" s="3"/>
      <c r="G80" s="1"/>
    </row>
    <row r="81" ht="14.25" customHeight="1">
      <c r="A81" s="1"/>
      <c r="F81" s="3"/>
      <c r="G81" s="1"/>
    </row>
    <row r="82" ht="14.25" customHeight="1">
      <c r="A82" s="1"/>
      <c r="F82" s="3"/>
      <c r="G82" s="1"/>
    </row>
    <row r="83" ht="14.25" customHeight="1">
      <c r="A83" s="1"/>
      <c r="F83" s="3"/>
      <c r="G83" s="1"/>
    </row>
    <row r="84" ht="14.25" customHeight="1">
      <c r="A84" s="1"/>
      <c r="F84" s="3"/>
      <c r="G84" s="1"/>
    </row>
    <row r="85" ht="14.25" customHeight="1">
      <c r="A85" s="1"/>
      <c r="F85" s="3"/>
      <c r="G85" s="1"/>
    </row>
    <row r="86" ht="14.25" customHeight="1">
      <c r="A86" s="1"/>
      <c r="F86" s="3"/>
      <c r="G86" s="1"/>
    </row>
    <row r="87" ht="14.25" customHeight="1">
      <c r="A87" s="1"/>
      <c r="F87" s="3"/>
      <c r="G87" s="1"/>
    </row>
    <row r="88" ht="14.25" customHeight="1">
      <c r="A88" s="1"/>
      <c r="F88" s="3"/>
      <c r="G88" s="1"/>
    </row>
    <row r="89" ht="14.25" customHeight="1">
      <c r="A89" s="1"/>
      <c r="F89" s="3"/>
      <c r="G89" s="1"/>
    </row>
    <row r="90" ht="14.25" customHeight="1">
      <c r="A90" s="1"/>
      <c r="F90" s="3"/>
      <c r="G90" s="1"/>
    </row>
    <row r="91" ht="14.25" customHeight="1">
      <c r="A91" s="1"/>
      <c r="F91" s="3"/>
      <c r="G91" s="1"/>
    </row>
    <row r="92" ht="14.25" customHeight="1">
      <c r="A92" s="1"/>
      <c r="F92" s="3"/>
      <c r="G92" s="1"/>
    </row>
    <row r="93" ht="14.25" customHeight="1">
      <c r="A93" s="1"/>
      <c r="F93" s="3"/>
      <c r="G93" s="1"/>
    </row>
    <row r="94" ht="14.25" customHeight="1">
      <c r="A94" s="1"/>
      <c r="F94" s="3"/>
      <c r="G94" s="1"/>
    </row>
    <row r="95" ht="14.25" customHeight="1">
      <c r="A95" s="1"/>
      <c r="F95" s="3"/>
      <c r="G95" s="1"/>
    </row>
    <row r="96" ht="14.25" customHeight="1">
      <c r="A96" s="1"/>
      <c r="F96" s="3"/>
      <c r="G96" s="1"/>
    </row>
    <row r="97" ht="14.25" customHeight="1">
      <c r="A97" s="1"/>
      <c r="F97" s="3"/>
      <c r="G97" s="1"/>
    </row>
    <row r="98" ht="14.25" customHeight="1">
      <c r="A98" s="1"/>
      <c r="F98" s="3"/>
      <c r="G98" s="1"/>
    </row>
    <row r="99" ht="14.25" customHeight="1">
      <c r="A99" s="1"/>
      <c r="F99" s="3"/>
      <c r="G99" s="1"/>
    </row>
    <row r="100" ht="14.25" customHeight="1">
      <c r="A100" s="1"/>
      <c r="F100" s="3"/>
      <c r="G100" s="1"/>
    </row>
    <row r="101" ht="14.25" customHeight="1">
      <c r="A101" s="1"/>
      <c r="F101" s="3"/>
      <c r="G101" s="1"/>
    </row>
    <row r="102" ht="14.25" customHeight="1">
      <c r="A102" s="1"/>
      <c r="F102" s="3"/>
      <c r="G102" s="1"/>
    </row>
    <row r="103" ht="14.25" customHeight="1">
      <c r="A103" s="1"/>
      <c r="F103" s="3"/>
      <c r="G103" s="1"/>
    </row>
    <row r="104" ht="14.25" customHeight="1">
      <c r="A104" s="1"/>
      <c r="F104" s="3"/>
      <c r="G104" s="1"/>
    </row>
    <row r="105" ht="14.25" customHeight="1">
      <c r="A105" s="1"/>
      <c r="F105" s="3"/>
      <c r="G105" s="1"/>
    </row>
    <row r="106" ht="14.25" customHeight="1">
      <c r="A106" s="1"/>
      <c r="F106" s="3"/>
      <c r="G106" s="1"/>
    </row>
    <row r="107" ht="14.25" customHeight="1">
      <c r="A107" s="1"/>
      <c r="F107" s="3"/>
      <c r="G107" s="1"/>
    </row>
    <row r="108" ht="14.25" customHeight="1">
      <c r="A108" s="1"/>
      <c r="F108" s="3"/>
      <c r="G108" s="1"/>
    </row>
    <row r="109" ht="14.25" customHeight="1">
      <c r="A109" s="1"/>
      <c r="F109" s="3"/>
      <c r="G109" s="1"/>
    </row>
    <row r="110" ht="14.25" customHeight="1">
      <c r="A110" s="1"/>
      <c r="F110" s="3"/>
      <c r="G110" s="1"/>
    </row>
    <row r="111" ht="14.25" customHeight="1">
      <c r="A111" s="1"/>
      <c r="F111" s="3"/>
      <c r="G111" s="1"/>
    </row>
    <row r="112" ht="14.25" customHeight="1">
      <c r="A112" s="1"/>
      <c r="F112" s="3"/>
      <c r="G112" s="1"/>
    </row>
    <row r="113" ht="14.25" customHeight="1">
      <c r="A113" s="1"/>
      <c r="F113" s="3"/>
      <c r="G113" s="1"/>
    </row>
    <row r="114" ht="14.25" customHeight="1">
      <c r="A114" s="1"/>
      <c r="F114" s="3"/>
      <c r="G114" s="1"/>
    </row>
    <row r="115" ht="14.25" customHeight="1">
      <c r="A115" s="1"/>
      <c r="F115" s="3"/>
      <c r="G115" s="1"/>
    </row>
    <row r="116" ht="14.25" customHeight="1">
      <c r="A116" s="1"/>
      <c r="F116" s="3"/>
      <c r="G116" s="1"/>
    </row>
    <row r="117" ht="14.25" customHeight="1">
      <c r="A117" s="1"/>
      <c r="F117" s="3"/>
      <c r="G117" s="1"/>
    </row>
    <row r="118" ht="14.25" customHeight="1">
      <c r="A118" s="1"/>
      <c r="F118" s="3"/>
      <c r="G118" s="1"/>
    </row>
    <row r="119" ht="14.25" customHeight="1">
      <c r="A119" s="1"/>
      <c r="F119" s="3"/>
      <c r="G119" s="1"/>
    </row>
    <row r="120" ht="14.25" customHeight="1">
      <c r="A120" s="1"/>
      <c r="F120" s="3"/>
      <c r="G120" s="1"/>
    </row>
    <row r="121" ht="14.25" customHeight="1">
      <c r="A121" s="1"/>
      <c r="F121" s="3"/>
      <c r="G121" s="1"/>
    </row>
    <row r="122" ht="14.25" customHeight="1">
      <c r="A122" s="1"/>
      <c r="F122" s="3"/>
      <c r="G122" s="1"/>
    </row>
    <row r="123" ht="14.25" customHeight="1">
      <c r="A123" s="1"/>
      <c r="F123" s="3"/>
      <c r="G123" s="1"/>
    </row>
    <row r="124" ht="14.25" customHeight="1">
      <c r="A124" s="1"/>
      <c r="F124" s="3"/>
      <c r="G124" s="1"/>
    </row>
    <row r="125" ht="14.25" customHeight="1">
      <c r="A125" s="1"/>
      <c r="F125" s="3"/>
      <c r="G125" s="1"/>
    </row>
    <row r="126" ht="14.25" customHeight="1">
      <c r="A126" s="1"/>
      <c r="F126" s="3"/>
      <c r="G126" s="1"/>
    </row>
    <row r="127" ht="14.25" customHeight="1">
      <c r="A127" s="1"/>
      <c r="F127" s="3"/>
      <c r="G127" s="1"/>
    </row>
    <row r="128" ht="14.25" customHeight="1">
      <c r="A128" s="1"/>
      <c r="F128" s="3"/>
      <c r="G128" s="1"/>
    </row>
    <row r="129" ht="14.25" customHeight="1">
      <c r="A129" s="1"/>
      <c r="F129" s="3"/>
      <c r="G129" s="1"/>
    </row>
    <row r="130" ht="14.25" customHeight="1">
      <c r="A130" s="1"/>
      <c r="F130" s="3"/>
      <c r="G130" s="1"/>
    </row>
    <row r="131" ht="14.25" customHeight="1">
      <c r="A131" s="1"/>
      <c r="F131" s="3"/>
      <c r="G131" s="1"/>
    </row>
    <row r="132" ht="14.25" customHeight="1">
      <c r="A132" s="1"/>
      <c r="F132" s="3"/>
      <c r="G132" s="1"/>
    </row>
    <row r="133" ht="14.25" customHeight="1">
      <c r="A133" s="1"/>
      <c r="F133" s="3"/>
      <c r="G133" s="1"/>
    </row>
    <row r="134" ht="14.25" customHeight="1">
      <c r="A134" s="1"/>
      <c r="F134" s="3"/>
      <c r="G134" s="1"/>
    </row>
    <row r="135" ht="14.25" customHeight="1">
      <c r="A135" s="1"/>
      <c r="F135" s="3"/>
      <c r="G135" s="1"/>
    </row>
    <row r="136" ht="14.25" customHeight="1">
      <c r="A136" s="1"/>
      <c r="F136" s="3"/>
      <c r="G136" s="1"/>
    </row>
    <row r="137" ht="14.25" customHeight="1">
      <c r="A137" s="1"/>
      <c r="F137" s="3"/>
      <c r="G137" s="1"/>
    </row>
    <row r="138" ht="14.25" customHeight="1">
      <c r="A138" s="1"/>
      <c r="F138" s="3"/>
      <c r="G138" s="1"/>
    </row>
    <row r="139" ht="14.25" customHeight="1">
      <c r="A139" s="1"/>
      <c r="F139" s="3"/>
      <c r="G139" s="1"/>
    </row>
    <row r="140" ht="14.25" customHeight="1">
      <c r="A140" s="1"/>
      <c r="F140" s="3"/>
      <c r="G140" s="1"/>
    </row>
    <row r="141" ht="14.25" customHeight="1">
      <c r="A141" s="1"/>
      <c r="F141" s="3"/>
      <c r="G141" s="1"/>
    </row>
    <row r="142" ht="14.25" customHeight="1">
      <c r="A142" s="1"/>
      <c r="F142" s="3"/>
      <c r="G142" s="1"/>
    </row>
    <row r="143" ht="14.25" customHeight="1">
      <c r="A143" s="1"/>
      <c r="F143" s="3"/>
      <c r="G143" s="1"/>
    </row>
    <row r="144" ht="14.25" customHeight="1">
      <c r="A144" s="1"/>
      <c r="F144" s="3"/>
      <c r="G144" s="1"/>
    </row>
    <row r="145" ht="14.25" customHeight="1">
      <c r="A145" s="1"/>
      <c r="F145" s="3"/>
      <c r="G145" s="1"/>
    </row>
    <row r="146" ht="14.25" customHeight="1">
      <c r="A146" s="1"/>
      <c r="F146" s="3"/>
      <c r="G146" s="1"/>
    </row>
    <row r="147" ht="14.25" customHeight="1">
      <c r="A147" s="1"/>
      <c r="F147" s="3"/>
      <c r="G147" s="1"/>
    </row>
    <row r="148" ht="14.25" customHeight="1">
      <c r="A148" s="1"/>
      <c r="F148" s="3"/>
      <c r="G148" s="1"/>
    </row>
    <row r="149" ht="14.25" customHeight="1">
      <c r="A149" s="1"/>
      <c r="F149" s="3"/>
      <c r="G149" s="1"/>
    </row>
    <row r="150" ht="14.25" customHeight="1">
      <c r="A150" s="1"/>
      <c r="F150" s="3"/>
      <c r="G150" s="1"/>
    </row>
    <row r="151" ht="14.25" customHeight="1">
      <c r="A151" s="1"/>
      <c r="F151" s="3"/>
      <c r="G151" s="1"/>
    </row>
    <row r="152" ht="14.25" customHeight="1">
      <c r="A152" s="1"/>
      <c r="F152" s="3"/>
      <c r="G152" s="1"/>
    </row>
    <row r="153" ht="14.25" customHeight="1">
      <c r="A153" s="1"/>
      <c r="F153" s="3"/>
      <c r="G153" s="1"/>
    </row>
    <row r="154" ht="14.25" customHeight="1">
      <c r="A154" s="1"/>
      <c r="F154" s="3"/>
      <c r="G154" s="1"/>
    </row>
    <row r="155" ht="14.25" customHeight="1">
      <c r="A155" s="1"/>
      <c r="F155" s="3"/>
      <c r="G155" s="1"/>
    </row>
    <row r="156" ht="14.25" customHeight="1">
      <c r="A156" s="1"/>
      <c r="F156" s="3"/>
      <c r="G156" s="1"/>
    </row>
    <row r="157" ht="14.25" customHeight="1">
      <c r="A157" s="1"/>
      <c r="F157" s="3"/>
      <c r="G157" s="1"/>
    </row>
    <row r="158" ht="14.25" customHeight="1">
      <c r="A158" s="1"/>
      <c r="F158" s="3"/>
      <c r="G158" s="1"/>
    </row>
    <row r="159" ht="14.25" customHeight="1">
      <c r="A159" s="1"/>
      <c r="F159" s="3"/>
      <c r="G159" s="1"/>
    </row>
    <row r="160" ht="14.25" customHeight="1">
      <c r="A160" s="1"/>
      <c r="F160" s="3"/>
      <c r="G160" s="1"/>
    </row>
    <row r="161" ht="14.25" customHeight="1">
      <c r="A161" s="1"/>
      <c r="F161" s="3"/>
      <c r="G161" s="1"/>
    </row>
    <row r="162" ht="14.25" customHeight="1">
      <c r="A162" s="1"/>
      <c r="F162" s="3"/>
      <c r="G162" s="1"/>
    </row>
    <row r="163" ht="14.25" customHeight="1">
      <c r="A163" s="1"/>
      <c r="F163" s="3"/>
      <c r="G163" s="1"/>
    </row>
    <row r="164" ht="14.25" customHeight="1">
      <c r="A164" s="1"/>
      <c r="F164" s="3"/>
      <c r="G164" s="1"/>
    </row>
    <row r="165" ht="14.25" customHeight="1">
      <c r="A165" s="1"/>
      <c r="F165" s="3"/>
      <c r="G165" s="1"/>
    </row>
    <row r="166" ht="14.25" customHeight="1">
      <c r="A166" s="1"/>
      <c r="F166" s="3"/>
      <c r="G166" s="1"/>
    </row>
    <row r="167" ht="14.25" customHeight="1">
      <c r="A167" s="1"/>
      <c r="F167" s="3"/>
      <c r="G167" s="1"/>
    </row>
    <row r="168" ht="14.25" customHeight="1">
      <c r="A168" s="1"/>
      <c r="F168" s="3"/>
      <c r="G168" s="1"/>
    </row>
    <row r="169" ht="14.25" customHeight="1">
      <c r="A169" s="1"/>
      <c r="F169" s="3"/>
      <c r="G169" s="1"/>
    </row>
    <row r="170" ht="14.25" customHeight="1">
      <c r="A170" s="1"/>
      <c r="F170" s="3"/>
      <c r="G170" s="1"/>
    </row>
    <row r="171" ht="14.25" customHeight="1">
      <c r="A171" s="1"/>
      <c r="F171" s="3"/>
      <c r="G171" s="1"/>
    </row>
    <row r="172" ht="14.25" customHeight="1">
      <c r="A172" s="1"/>
      <c r="F172" s="3"/>
      <c r="G172" s="1"/>
    </row>
    <row r="173" ht="14.25" customHeight="1">
      <c r="A173" s="1"/>
      <c r="F173" s="3"/>
      <c r="G173" s="1"/>
    </row>
    <row r="174" ht="14.25" customHeight="1">
      <c r="A174" s="1"/>
      <c r="F174" s="3"/>
      <c r="G174" s="1"/>
    </row>
    <row r="175" ht="14.25" customHeight="1">
      <c r="A175" s="1"/>
      <c r="F175" s="3"/>
      <c r="G175" s="1"/>
    </row>
    <row r="176" ht="14.25" customHeight="1">
      <c r="A176" s="1"/>
      <c r="F176" s="3"/>
      <c r="G176" s="1"/>
    </row>
    <row r="177" ht="14.25" customHeight="1">
      <c r="A177" s="1"/>
      <c r="F177" s="3"/>
      <c r="G177" s="1"/>
    </row>
    <row r="178" ht="14.25" customHeight="1">
      <c r="A178" s="1"/>
      <c r="F178" s="3"/>
      <c r="G178" s="1"/>
    </row>
    <row r="179" ht="14.25" customHeight="1">
      <c r="A179" s="1"/>
      <c r="F179" s="3"/>
      <c r="G179" s="1"/>
    </row>
    <row r="180" ht="14.25" customHeight="1">
      <c r="A180" s="1"/>
      <c r="F180" s="3"/>
      <c r="G180" s="1"/>
    </row>
    <row r="181" ht="14.25" customHeight="1">
      <c r="A181" s="1"/>
      <c r="F181" s="3"/>
      <c r="G181" s="1"/>
    </row>
    <row r="182" ht="14.25" customHeight="1">
      <c r="A182" s="1"/>
      <c r="F182" s="3"/>
      <c r="G182" s="1"/>
    </row>
    <row r="183" ht="14.25" customHeight="1">
      <c r="A183" s="1"/>
      <c r="F183" s="3"/>
      <c r="G183" s="1"/>
    </row>
    <row r="184" ht="14.25" customHeight="1">
      <c r="A184" s="1"/>
      <c r="F184" s="3"/>
      <c r="G184" s="1"/>
    </row>
    <row r="185" ht="14.25" customHeight="1">
      <c r="A185" s="1"/>
      <c r="F185" s="3"/>
      <c r="G185" s="1"/>
    </row>
    <row r="186" ht="14.25" customHeight="1">
      <c r="A186" s="1"/>
      <c r="F186" s="3"/>
      <c r="G186" s="1"/>
    </row>
    <row r="187" ht="14.25" customHeight="1">
      <c r="A187" s="1"/>
      <c r="F187" s="3"/>
      <c r="G187" s="1"/>
    </row>
    <row r="188" ht="14.25" customHeight="1">
      <c r="A188" s="1"/>
      <c r="F188" s="3"/>
      <c r="G188" s="1"/>
    </row>
    <row r="189" ht="14.25" customHeight="1">
      <c r="A189" s="1"/>
      <c r="F189" s="3"/>
      <c r="G189" s="1"/>
    </row>
    <row r="190" ht="14.25" customHeight="1">
      <c r="A190" s="1"/>
      <c r="F190" s="3"/>
      <c r="G190" s="1"/>
    </row>
    <row r="191" ht="14.25" customHeight="1">
      <c r="A191" s="1"/>
      <c r="F191" s="3"/>
      <c r="G191" s="1"/>
    </row>
    <row r="192" ht="14.25" customHeight="1">
      <c r="A192" s="1"/>
      <c r="F192" s="3"/>
      <c r="G192" s="1"/>
    </row>
    <row r="193" ht="14.25" customHeight="1">
      <c r="A193" s="1"/>
      <c r="F193" s="3"/>
      <c r="G193" s="1"/>
    </row>
    <row r="194" ht="14.25" customHeight="1">
      <c r="A194" s="1"/>
      <c r="F194" s="3"/>
      <c r="G194" s="1"/>
    </row>
    <row r="195" ht="14.25" customHeight="1">
      <c r="A195" s="1"/>
      <c r="F195" s="3"/>
      <c r="G195" s="1"/>
    </row>
    <row r="196" ht="14.25" customHeight="1">
      <c r="A196" s="1"/>
      <c r="F196" s="3"/>
      <c r="G196" s="1"/>
    </row>
    <row r="197" ht="14.25" customHeight="1">
      <c r="A197" s="1"/>
      <c r="F197" s="3"/>
      <c r="G197" s="1"/>
    </row>
    <row r="198" ht="14.25" customHeight="1">
      <c r="A198" s="1"/>
      <c r="F198" s="3"/>
      <c r="G198" s="1"/>
    </row>
    <row r="199" ht="14.25" customHeight="1">
      <c r="A199" s="1"/>
      <c r="F199" s="3"/>
      <c r="G199" s="1"/>
    </row>
    <row r="200" ht="14.25" customHeight="1">
      <c r="A200" s="1"/>
      <c r="F200" s="3"/>
      <c r="G200" s="1"/>
    </row>
    <row r="201" ht="14.25" customHeight="1">
      <c r="A201" s="1"/>
      <c r="F201" s="3"/>
      <c r="G201" s="1"/>
    </row>
    <row r="202" ht="14.25" customHeight="1">
      <c r="A202" s="1"/>
      <c r="F202" s="3"/>
      <c r="G202" s="1"/>
    </row>
    <row r="203" ht="14.25" customHeight="1">
      <c r="A203" s="1"/>
      <c r="F203" s="3"/>
      <c r="G203" s="1"/>
    </row>
    <row r="204" ht="14.25" customHeight="1">
      <c r="A204" s="1"/>
      <c r="F204" s="3"/>
      <c r="G204" s="1"/>
    </row>
    <row r="205" ht="14.25" customHeight="1">
      <c r="A205" s="1"/>
      <c r="F205" s="3"/>
      <c r="G205" s="1"/>
    </row>
    <row r="206" ht="14.25" customHeight="1">
      <c r="A206" s="1"/>
      <c r="F206" s="3"/>
      <c r="G206" s="1"/>
    </row>
    <row r="207" ht="14.25" customHeight="1">
      <c r="A207" s="1"/>
      <c r="F207" s="3"/>
      <c r="G207" s="1"/>
    </row>
    <row r="208" ht="14.25" customHeight="1">
      <c r="A208" s="1"/>
      <c r="F208" s="3"/>
      <c r="G208" s="1"/>
    </row>
    <row r="209" ht="14.25" customHeight="1">
      <c r="A209" s="1"/>
      <c r="F209" s="3"/>
      <c r="G209" s="1"/>
    </row>
    <row r="210" ht="14.25" customHeight="1">
      <c r="A210" s="1"/>
      <c r="F210" s="3"/>
      <c r="G210" s="1"/>
    </row>
    <row r="211" ht="14.25" customHeight="1">
      <c r="A211" s="1"/>
      <c r="F211" s="3"/>
      <c r="G211" s="1"/>
    </row>
    <row r="212" ht="14.25" customHeight="1">
      <c r="A212" s="1"/>
      <c r="F212" s="3"/>
      <c r="G212" s="1"/>
    </row>
    <row r="213" ht="14.25" customHeight="1">
      <c r="A213" s="1"/>
      <c r="F213" s="3"/>
      <c r="G213" s="1"/>
    </row>
    <row r="214" ht="14.25" customHeight="1">
      <c r="A214" s="1"/>
      <c r="F214" s="3"/>
      <c r="G214" s="1"/>
    </row>
    <row r="215" ht="14.25" customHeight="1">
      <c r="A215" s="1"/>
      <c r="F215" s="3"/>
      <c r="G215" s="1"/>
    </row>
    <row r="216" ht="14.25" customHeight="1">
      <c r="A216" s="1"/>
      <c r="F216" s="3"/>
      <c r="G216" s="1"/>
    </row>
    <row r="217" ht="14.25" customHeight="1">
      <c r="A217" s="1"/>
      <c r="F217" s="3"/>
      <c r="G217" s="1"/>
    </row>
    <row r="218" ht="14.25" customHeight="1">
      <c r="A218" s="1"/>
      <c r="F218" s="3"/>
      <c r="G218" s="1"/>
    </row>
    <row r="219" ht="14.25" customHeight="1">
      <c r="A219" s="1"/>
      <c r="F219" s="3"/>
      <c r="G219" s="1"/>
    </row>
    <row r="220" ht="14.25" customHeight="1">
      <c r="A220" s="1"/>
      <c r="F220" s="3"/>
      <c r="G220" s="1"/>
    </row>
    <row r="221" ht="14.25" customHeight="1">
      <c r="A221" s="1"/>
      <c r="F221" s="3"/>
      <c r="G221" s="1"/>
    </row>
    <row r="222" ht="14.25" customHeight="1">
      <c r="A222" s="1"/>
      <c r="F222" s="3"/>
      <c r="G222" s="1"/>
    </row>
    <row r="223" ht="14.25" customHeight="1">
      <c r="A223" s="1"/>
      <c r="F223" s="3"/>
      <c r="G223" s="1"/>
    </row>
    <row r="224" ht="14.25" customHeight="1">
      <c r="A224" s="1"/>
      <c r="F224" s="3"/>
      <c r="G224" s="1"/>
    </row>
    <row r="225" ht="14.25" customHeight="1">
      <c r="A225" s="1"/>
      <c r="F225" s="3"/>
      <c r="G225" s="1"/>
    </row>
    <row r="226" ht="14.25" customHeight="1">
      <c r="A226" s="1"/>
      <c r="F226" s="3"/>
      <c r="G226" s="1"/>
    </row>
    <row r="227" ht="14.25" customHeight="1">
      <c r="A227" s="1"/>
      <c r="F227" s="3"/>
      <c r="G227" s="1"/>
    </row>
    <row r="228" ht="14.25" customHeight="1">
      <c r="A228" s="1"/>
      <c r="F228" s="3"/>
      <c r="G228" s="1"/>
    </row>
    <row r="229" ht="14.25" customHeight="1">
      <c r="A229" s="1"/>
      <c r="F229" s="3"/>
      <c r="G229" s="1"/>
    </row>
    <row r="230" ht="14.25" customHeight="1">
      <c r="A230" s="1"/>
      <c r="F230" s="3"/>
      <c r="G230" s="1"/>
    </row>
    <row r="231" ht="14.25" customHeight="1">
      <c r="A231" s="1"/>
      <c r="F231" s="3"/>
      <c r="G231" s="1"/>
    </row>
    <row r="232" ht="14.25" customHeight="1">
      <c r="A232" s="1"/>
      <c r="F232" s="3"/>
      <c r="G232" s="1"/>
    </row>
    <row r="233" ht="14.25" customHeight="1">
      <c r="A233" s="1"/>
      <c r="F233" s="3"/>
      <c r="G233" s="1"/>
    </row>
    <row r="234" ht="14.25" customHeight="1">
      <c r="A234" s="1"/>
      <c r="F234" s="3"/>
      <c r="G234" s="1"/>
    </row>
    <row r="235" ht="14.25" customHeight="1">
      <c r="A235" s="1"/>
      <c r="F235" s="3"/>
      <c r="G235" s="1"/>
    </row>
    <row r="236" ht="14.25" customHeight="1">
      <c r="A236" s="1"/>
      <c r="F236" s="3"/>
      <c r="G236" s="1"/>
    </row>
    <row r="237" ht="14.25" customHeight="1">
      <c r="A237" s="1"/>
      <c r="F237" s="3"/>
      <c r="G237" s="1"/>
    </row>
    <row r="238" ht="14.25" customHeight="1">
      <c r="A238" s="1"/>
      <c r="F238" s="3"/>
      <c r="G238" s="1"/>
    </row>
    <row r="239" ht="14.25" customHeight="1">
      <c r="A239" s="1"/>
      <c r="F239" s="3"/>
      <c r="G239" s="1"/>
    </row>
    <row r="240" ht="14.25" customHeight="1">
      <c r="A240" s="1"/>
      <c r="F240" s="3"/>
      <c r="G240" s="1"/>
    </row>
    <row r="241" ht="14.25" customHeight="1">
      <c r="A241" s="1"/>
      <c r="F241" s="3"/>
      <c r="G241" s="1"/>
    </row>
    <row r="242" ht="14.25" customHeight="1">
      <c r="A242" s="1"/>
      <c r="F242" s="3"/>
      <c r="G242" s="1"/>
    </row>
    <row r="243" ht="14.25" customHeight="1">
      <c r="A243" s="1"/>
      <c r="F243" s="3"/>
      <c r="G243" s="1"/>
    </row>
    <row r="244" ht="14.25" customHeight="1">
      <c r="A244" s="1"/>
      <c r="F244" s="3"/>
      <c r="G244" s="1"/>
    </row>
    <row r="245" ht="14.25" customHeight="1">
      <c r="A245" s="1"/>
      <c r="F245" s="3"/>
      <c r="G245" s="1"/>
    </row>
    <row r="246" ht="14.25" customHeight="1">
      <c r="A246" s="1"/>
      <c r="F246" s="3"/>
      <c r="G246" s="1"/>
    </row>
    <row r="247" ht="14.25" customHeight="1">
      <c r="A247" s="1"/>
      <c r="F247" s="3"/>
      <c r="G247" s="1"/>
    </row>
    <row r="248" ht="14.25" customHeight="1">
      <c r="A248" s="1"/>
      <c r="F248" s="3"/>
      <c r="G248" s="1"/>
    </row>
    <row r="249" ht="14.25" customHeight="1">
      <c r="A249" s="1"/>
      <c r="F249" s="3"/>
      <c r="G249" s="1"/>
    </row>
    <row r="250" ht="14.25" customHeight="1">
      <c r="A250" s="1"/>
      <c r="F250" s="3"/>
      <c r="G250" s="1"/>
    </row>
    <row r="251" ht="14.25" customHeight="1">
      <c r="A251" s="1"/>
      <c r="F251" s="3"/>
      <c r="G251" s="1"/>
    </row>
    <row r="252" ht="14.25" customHeight="1">
      <c r="A252" s="1"/>
      <c r="F252" s="3"/>
      <c r="G252" s="1"/>
    </row>
    <row r="253" ht="14.25" customHeight="1">
      <c r="A253" s="1"/>
      <c r="F253" s="3"/>
      <c r="G253" s="1"/>
    </row>
    <row r="254" ht="14.25" customHeight="1">
      <c r="A254" s="1"/>
      <c r="F254" s="3"/>
      <c r="G254" s="1"/>
    </row>
    <row r="255" ht="14.25" customHeight="1">
      <c r="A255" s="1"/>
      <c r="F255" s="3"/>
      <c r="G255" s="1"/>
    </row>
    <row r="256" ht="14.25" customHeight="1">
      <c r="A256" s="1"/>
      <c r="F256" s="3"/>
      <c r="G256" s="1"/>
    </row>
    <row r="257" ht="14.25" customHeight="1">
      <c r="A257" s="1"/>
      <c r="F257" s="3"/>
      <c r="G257" s="1"/>
    </row>
    <row r="258" ht="14.25" customHeight="1">
      <c r="A258" s="1"/>
      <c r="F258" s="3"/>
      <c r="G258" s="1"/>
    </row>
    <row r="259" ht="14.25" customHeight="1">
      <c r="A259" s="1"/>
      <c r="F259" s="3"/>
      <c r="G259" s="1"/>
    </row>
    <row r="260" ht="14.25" customHeight="1">
      <c r="A260" s="1"/>
      <c r="F260" s="3"/>
      <c r="G260" s="1"/>
    </row>
    <row r="261" ht="14.25" customHeight="1">
      <c r="A261" s="1"/>
      <c r="F261" s="3"/>
      <c r="G261" s="1"/>
    </row>
    <row r="262" ht="14.25" customHeight="1">
      <c r="A262" s="1"/>
      <c r="F262" s="3"/>
      <c r="G262" s="1"/>
    </row>
    <row r="263" ht="14.25" customHeight="1">
      <c r="A263" s="1"/>
      <c r="F263" s="3"/>
      <c r="G263" s="1"/>
    </row>
    <row r="264" ht="14.25" customHeight="1">
      <c r="A264" s="1"/>
      <c r="F264" s="3"/>
      <c r="G264" s="1"/>
    </row>
    <row r="265" ht="14.25" customHeight="1">
      <c r="A265" s="1"/>
      <c r="F265" s="3"/>
      <c r="G265" s="1"/>
    </row>
    <row r="266" ht="14.25" customHeight="1">
      <c r="A266" s="1"/>
      <c r="F266" s="3"/>
      <c r="G266" s="1"/>
    </row>
    <row r="267" ht="14.25" customHeight="1">
      <c r="A267" s="1"/>
      <c r="F267" s="3"/>
      <c r="G267" s="1"/>
    </row>
    <row r="268" ht="14.25" customHeight="1">
      <c r="A268" s="1"/>
      <c r="F268" s="3"/>
      <c r="G268" s="1"/>
    </row>
    <row r="269" ht="14.25" customHeight="1">
      <c r="A269" s="1"/>
      <c r="F269" s="3"/>
      <c r="G269" s="1"/>
    </row>
    <row r="270" ht="14.25" customHeight="1">
      <c r="A270" s="1"/>
      <c r="F270" s="3"/>
      <c r="G270" s="1"/>
    </row>
    <row r="271" ht="14.25" customHeight="1">
      <c r="A271" s="1"/>
      <c r="F271" s="3"/>
      <c r="G271" s="1"/>
    </row>
    <row r="272" ht="14.25" customHeight="1">
      <c r="A272" s="1"/>
      <c r="F272" s="3"/>
      <c r="G272" s="1"/>
    </row>
    <row r="273" ht="14.25" customHeight="1">
      <c r="A273" s="1"/>
      <c r="F273" s="3"/>
      <c r="G273" s="1"/>
    </row>
    <row r="274" ht="14.25" customHeight="1">
      <c r="A274" s="1"/>
      <c r="F274" s="3"/>
      <c r="G274" s="1"/>
    </row>
    <row r="275" ht="14.25" customHeight="1">
      <c r="A275" s="1"/>
      <c r="F275" s="3"/>
      <c r="G275" s="1"/>
    </row>
    <row r="276" ht="14.25" customHeight="1">
      <c r="A276" s="1"/>
      <c r="F276" s="3"/>
      <c r="G276" s="1"/>
    </row>
    <row r="277" ht="14.25" customHeight="1">
      <c r="A277" s="1"/>
      <c r="F277" s="3"/>
      <c r="G277" s="1"/>
    </row>
    <row r="278" ht="14.25" customHeight="1">
      <c r="A278" s="1"/>
      <c r="F278" s="3"/>
      <c r="G278" s="1"/>
    </row>
    <row r="279" ht="14.25" customHeight="1">
      <c r="A279" s="1"/>
      <c r="F279" s="3"/>
      <c r="G279" s="1"/>
    </row>
    <row r="280" ht="14.25" customHeight="1">
      <c r="A280" s="1"/>
      <c r="F280" s="3"/>
      <c r="G280" s="1"/>
    </row>
    <row r="281" ht="14.25" customHeight="1">
      <c r="A281" s="1"/>
      <c r="F281" s="3"/>
      <c r="G281" s="1"/>
    </row>
    <row r="282" ht="14.25" customHeight="1">
      <c r="A282" s="1"/>
      <c r="F282" s="3"/>
      <c r="G282" s="1"/>
    </row>
    <row r="283" ht="14.25" customHeight="1">
      <c r="A283" s="1"/>
      <c r="F283" s="3"/>
      <c r="G283" s="1"/>
    </row>
    <row r="284" ht="14.25" customHeight="1">
      <c r="A284" s="1"/>
      <c r="F284" s="3"/>
      <c r="G284" s="1"/>
    </row>
    <row r="285" ht="14.25" customHeight="1">
      <c r="A285" s="1"/>
      <c r="F285" s="3"/>
      <c r="G285" s="1"/>
    </row>
    <row r="286" ht="14.25" customHeight="1">
      <c r="A286" s="1"/>
      <c r="F286" s="3"/>
      <c r="G286" s="1"/>
    </row>
    <row r="287" ht="14.25" customHeight="1">
      <c r="A287" s="1"/>
      <c r="F287" s="3"/>
      <c r="G287" s="1"/>
    </row>
    <row r="288" ht="14.25" customHeight="1">
      <c r="A288" s="1"/>
      <c r="F288" s="3"/>
      <c r="G288" s="1"/>
    </row>
    <row r="289" ht="14.25" customHeight="1">
      <c r="A289" s="1"/>
      <c r="F289" s="3"/>
      <c r="G289" s="1"/>
    </row>
    <row r="290" ht="14.25" customHeight="1">
      <c r="A290" s="1"/>
      <c r="F290" s="3"/>
      <c r="G290" s="1"/>
    </row>
    <row r="291" ht="14.25" customHeight="1">
      <c r="A291" s="1"/>
      <c r="F291" s="3"/>
      <c r="G291" s="1"/>
    </row>
    <row r="292" ht="14.25" customHeight="1">
      <c r="A292" s="1"/>
      <c r="F292" s="3"/>
      <c r="G292" s="1"/>
    </row>
    <row r="293" ht="14.25" customHeight="1">
      <c r="A293" s="1"/>
      <c r="F293" s="3"/>
      <c r="G293" s="1"/>
    </row>
    <row r="294" ht="14.25" customHeight="1">
      <c r="A294" s="1"/>
      <c r="F294" s="3"/>
      <c r="G294" s="1"/>
    </row>
    <row r="295" ht="14.25" customHeight="1">
      <c r="A295" s="1"/>
      <c r="F295" s="3"/>
      <c r="G295" s="1"/>
    </row>
    <row r="296" ht="14.25" customHeight="1">
      <c r="A296" s="1"/>
      <c r="F296" s="3"/>
      <c r="G296" s="1"/>
    </row>
    <row r="297" ht="14.25" customHeight="1">
      <c r="A297" s="1"/>
      <c r="F297" s="3"/>
      <c r="G297" s="1"/>
    </row>
    <row r="298" ht="14.25" customHeight="1">
      <c r="A298" s="1"/>
      <c r="F298" s="3"/>
      <c r="G298" s="1"/>
    </row>
    <row r="299" ht="14.25" customHeight="1">
      <c r="A299" s="1"/>
      <c r="F299" s="3"/>
      <c r="G299" s="1"/>
    </row>
    <row r="300" ht="14.25" customHeight="1">
      <c r="A300" s="1"/>
      <c r="F300" s="3"/>
      <c r="G300" s="1"/>
    </row>
    <row r="301" ht="14.25" customHeight="1">
      <c r="A301" s="1"/>
      <c r="F301" s="3"/>
      <c r="G301" s="1"/>
    </row>
    <row r="302" ht="14.25" customHeight="1">
      <c r="A302" s="1"/>
      <c r="F302" s="3"/>
      <c r="G302" s="1"/>
    </row>
    <row r="303" ht="14.25" customHeight="1">
      <c r="A303" s="1"/>
      <c r="F303" s="3"/>
      <c r="G303" s="1"/>
    </row>
    <row r="304" ht="14.25" customHeight="1">
      <c r="A304" s="1"/>
      <c r="F304" s="3"/>
      <c r="G304" s="1"/>
    </row>
    <row r="305" ht="14.25" customHeight="1">
      <c r="A305" s="1"/>
      <c r="F305" s="3"/>
      <c r="G305" s="1"/>
    </row>
    <row r="306" ht="14.25" customHeight="1">
      <c r="A306" s="1"/>
      <c r="F306" s="3"/>
      <c r="G306" s="1"/>
    </row>
    <row r="307" ht="14.25" customHeight="1">
      <c r="A307" s="1"/>
      <c r="F307" s="3"/>
      <c r="G307" s="1"/>
    </row>
    <row r="308" ht="14.25" customHeight="1">
      <c r="A308" s="1"/>
      <c r="F308" s="3"/>
      <c r="G308" s="1"/>
    </row>
    <row r="309" ht="14.25" customHeight="1">
      <c r="A309" s="1"/>
      <c r="F309" s="3"/>
      <c r="G309" s="1"/>
    </row>
    <row r="310" ht="14.25" customHeight="1">
      <c r="A310" s="1"/>
      <c r="F310" s="3"/>
      <c r="G310" s="1"/>
    </row>
    <row r="311" ht="14.25" customHeight="1">
      <c r="A311" s="1"/>
      <c r="F311" s="3"/>
      <c r="G311" s="1"/>
    </row>
    <row r="312" ht="14.25" customHeight="1">
      <c r="A312" s="1"/>
      <c r="F312" s="3"/>
      <c r="G312" s="1"/>
    </row>
    <row r="313" ht="14.25" customHeight="1">
      <c r="A313" s="1"/>
      <c r="F313" s="3"/>
      <c r="G313" s="1"/>
    </row>
    <row r="314" ht="14.25" customHeight="1">
      <c r="A314" s="1"/>
      <c r="F314" s="3"/>
      <c r="G314" s="1"/>
    </row>
    <row r="315" ht="14.25" customHeight="1">
      <c r="A315" s="1"/>
      <c r="F315" s="3"/>
      <c r="G315" s="1"/>
    </row>
    <row r="316" ht="14.25" customHeight="1">
      <c r="A316" s="1"/>
      <c r="F316" s="3"/>
      <c r="G316" s="1"/>
    </row>
    <row r="317" ht="14.25" customHeight="1">
      <c r="A317" s="1"/>
      <c r="F317" s="3"/>
      <c r="G317" s="1"/>
    </row>
    <row r="318" ht="14.25" customHeight="1">
      <c r="A318" s="1"/>
      <c r="F318" s="3"/>
      <c r="G318" s="1"/>
    </row>
    <row r="319" ht="14.25" customHeight="1">
      <c r="A319" s="1"/>
      <c r="F319" s="3"/>
      <c r="G319" s="1"/>
    </row>
    <row r="320" ht="14.25" customHeight="1">
      <c r="A320" s="1"/>
      <c r="F320" s="3"/>
      <c r="G320" s="1"/>
    </row>
    <row r="321" ht="14.25" customHeight="1">
      <c r="A321" s="1"/>
      <c r="F321" s="3"/>
      <c r="G321" s="1"/>
    </row>
    <row r="322" ht="14.25" customHeight="1">
      <c r="A322" s="1"/>
      <c r="F322" s="3"/>
      <c r="G322" s="1"/>
    </row>
    <row r="323" ht="14.25" customHeight="1">
      <c r="A323" s="1"/>
      <c r="F323" s="3"/>
      <c r="G323" s="1"/>
    </row>
    <row r="324" ht="14.25" customHeight="1">
      <c r="A324" s="1"/>
      <c r="F324" s="3"/>
      <c r="G324" s="1"/>
    </row>
    <row r="325" ht="14.25" customHeight="1">
      <c r="A325" s="1"/>
      <c r="F325" s="3"/>
      <c r="G325" s="1"/>
    </row>
    <row r="326" ht="14.25" customHeight="1">
      <c r="A326" s="1"/>
      <c r="F326" s="3"/>
      <c r="G326" s="1"/>
    </row>
    <row r="327" ht="14.25" customHeight="1">
      <c r="A327" s="1"/>
      <c r="F327" s="3"/>
      <c r="G327" s="1"/>
    </row>
    <row r="328" ht="14.25" customHeight="1">
      <c r="A328" s="1"/>
      <c r="F328" s="3"/>
      <c r="G328" s="1"/>
    </row>
    <row r="329" ht="14.25" customHeight="1">
      <c r="A329" s="1"/>
      <c r="F329" s="3"/>
      <c r="G329" s="1"/>
    </row>
    <row r="330" ht="14.25" customHeight="1">
      <c r="A330" s="1"/>
      <c r="F330" s="3"/>
      <c r="G330" s="1"/>
    </row>
    <row r="331" ht="14.25" customHeight="1">
      <c r="A331" s="1"/>
      <c r="F331" s="3"/>
      <c r="G331" s="1"/>
    </row>
    <row r="332" ht="14.25" customHeight="1">
      <c r="A332" s="1"/>
      <c r="F332" s="3"/>
      <c r="G332" s="1"/>
    </row>
    <row r="333" ht="14.25" customHeight="1">
      <c r="A333" s="1"/>
      <c r="F333" s="3"/>
      <c r="G333" s="1"/>
    </row>
    <row r="334" ht="14.25" customHeight="1">
      <c r="A334" s="1"/>
      <c r="F334" s="3"/>
      <c r="G334" s="1"/>
    </row>
    <row r="335" ht="14.25" customHeight="1">
      <c r="A335" s="1"/>
      <c r="F335" s="3"/>
      <c r="G335" s="1"/>
    </row>
    <row r="336" ht="14.25" customHeight="1">
      <c r="A336" s="1"/>
      <c r="F336" s="3"/>
      <c r="G336" s="1"/>
    </row>
    <row r="337" ht="14.25" customHeight="1">
      <c r="A337" s="1"/>
      <c r="F337" s="3"/>
      <c r="G337" s="1"/>
    </row>
    <row r="338" ht="14.25" customHeight="1">
      <c r="A338" s="1"/>
      <c r="F338" s="3"/>
      <c r="G338" s="1"/>
    </row>
    <row r="339" ht="14.25" customHeight="1">
      <c r="A339" s="1"/>
      <c r="F339" s="3"/>
      <c r="G339" s="1"/>
    </row>
    <row r="340" ht="14.25" customHeight="1">
      <c r="A340" s="1"/>
      <c r="F340" s="3"/>
      <c r="G340" s="1"/>
    </row>
    <row r="341" ht="14.25" customHeight="1">
      <c r="A341" s="1"/>
      <c r="F341" s="3"/>
      <c r="G341" s="1"/>
    </row>
    <row r="342" ht="14.25" customHeight="1">
      <c r="A342" s="1"/>
      <c r="F342" s="3"/>
      <c r="G342" s="1"/>
    </row>
    <row r="343" ht="14.25" customHeight="1">
      <c r="A343" s="1"/>
      <c r="F343" s="3"/>
      <c r="G343" s="1"/>
    </row>
    <row r="344" ht="14.25" customHeight="1">
      <c r="A344" s="1"/>
      <c r="F344" s="3"/>
      <c r="G344" s="1"/>
    </row>
    <row r="345" ht="14.25" customHeight="1">
      <c r="A345" s="1"/>
      <c r="F345" s="3"/>
      <c r="G345" s="1"/>
    </row>
    <row r="346" ht="14.25" customHeight="1">
      <c r="A346" s="1"/>
      <c r="F346" s="3"/>
      <c r="G346" s="1"/>
    </row>
    <row r="347" ht="14.25" customHeight="1">
      <c r="A347" s="1"/>
      <c r="F347" s="3"/>
      <c r="G347" s="1"/>
    </row>
    <row r="348" ht="14.25" customHeight="1">
      <c r="A348" s="1"/>
      <c r="F348" s="3"/>
      <c r="G348" s="1"/>
    </row>
    <row r="349" ht="14.25" customHeight="1">
      <c r="A349" s="1"/>
      <c r="F349" s="3"/>
      <c r="G349" s="1"/>
    </row>
    <row r="350" ht="14.25" customHeight="1">
      <c r="A350" s="1"/>
      <c r="F350" s="3"/>
      <c r="G350" s="1"/>
    </row>
    <row r="351" ht="14.25" customHeight="1">
      <c r="A351" s="1"/>
      <c r="F351" s="3"/>
      <c r="G351" s="1"/>
    </row>
    <row r="352" ht="14.25" customHeight="1">
      <c r="A352" s="1"/>
      <c r="F352" s="3"/>
      <c r="G352" s="1"/>
    </row>
    <row r="353" ht="14.25" customHeight="1">
      <c r="A353" s="1"/>
      <c r="F353" s="3"/>
      <c r="G353" s="1"/>
    </row>
    <row r="354" ht="14.25" customHeight="1">
      <c r="A354" s="1"/>
      <c r="F354" s="3"/>
      <c r="G354" s="1"/>
    </row>
    <row r="355" ht="14.25" customHeight="1">
      <c r="A355" s="1"/>
      <c r="F355" s="3"/>
      <c r="G355" s="1"/>
    </row>
    <row r="356" ht="14.25" customHeight="1">
      <c r="A356" s="1"/>
      <c r="F356" s="3"/>
      <c r="G356" s="1"/>
    </row>
    <row r="357" ht="14.25" customHeight="1">
      <c r="A357" s="1"/>
      <c r="F357" s="3"/>
      <c r="G357" s="1"/>
    </row>
    <row r="358" ht="14.25" customHeight="1">
      <c r="A358" s="1"/>
      <c r="F358" s="3"/>
      <c r="G358" s="1"/>
    </row>
    <row r="359" ht="14.25" customHeight="1">
      <c r="A359" s="1"/>
      <c r="F359" s="3"/>
      <c r="G359" s="1"/>
    </row>
    <row r="360" ht="14.25" customHeight="1">
      <c r="A360" s="1"/>
      <c r="F360" s="3"/>
      <c r="G360" s="1"/>
    </row>
    <row r="361" ht="14.25" customHeight="1">
      <c r="A361" s="1"/>
      <c r="F361" s="3"/>
      <c r="G361" s="1"/>
    </row>
    <row r="362" ht="14.25" customHeight="1">
      <c r="A362" s="1"/>
      <c r="F362" s="3"/>
      <c r="G362" s="1"/>
    </row>
    <row r="363" ht="14.25" customHeight="1">
      <c r="A363" s="1"/>
      <c r="F363" s="3"/>
      <c r="G363" s="1"/>
    </row>
    <row r="364" ht="14.25" customHeight="1">
      <c r="A364" s="1"/>
      <c r="F364" s="3"/>
      <c r="G364" s="1"/>
    </row>
    <row r="365" ht="14.25" customHeight="1">
      <c r="A365" s="1"/>
      <c r="F365" s="3"/>
      <c r="G365" s="1"/>
    </row>
    <row r="366" ht="14.25" customHeight="1">
      <c r="A366" s="1"/>
      <c r="F366" s="3"/>
      <c r="G366" s="1"/>
    </row>
    <row r="367" ht="14.25" customHeight="1">
      <c r="A367" s="1"/>
      <c r="F367" s="3"/>
      <c r="G367" s="1"/>
    </row>
    <row r="368" ht="14.25" customHeight="1">
      <c r="A368" s="1"/>
      <c r="F368" s="3"/>
      <c r="G368" s="1"/>
    </row>
    <row r="369" ht="14.25" customHeight="1">
      <c r="A369" s="1"/>
      <c r="F369" s="3"/>
      <c r="G369" s="1"/>
    </row>
    <row r="370" ht="14.25" customHeight="1">
      <c r="A370" s="1"/>
      <c r="F370" s="3"/>
      <c r="G370" s="1"/>
    </row>
    <row r="371" ht="14.25" customHeight="1">
      <c r="A371" s="1"/>
      <c r="F371" s="3"/>
      <c r="G371" s="1"/>
    </row>
    <row r="372" ht="14.25" customHeight="1">
      <c r="A372" s="1"/>
      <c r="F372" s="3"/>
      <c r="G372" s="1"/>
    </row>
    <row r="373" ht="14.25" customHeight="1">
      <c r="A373" s="1"/>
      <c r="F373" s="3"/>
      <c r="G373" s="1"/>
    </row>
    <row r="374" ht="14.25" customHeight="1">
      <c r="A374" s="1"/>
      <c r="F374" s="3"/>
      <c r="G374" s="1"/>
    </row>
    <row r="375" ht="14.25" customHeight="1">
      <c r="A375" s="1"/>
      <c r="F375" s="3"/>
      <c r="G375" s="1"/>
    </row>
    <row r="376" ht="14.25" customHeight="1">
      <c r="A376" s="1"/>
      <c r="F376" s="3"/>
      <c r="G376" s="1"/>
    </row>
    <row r="377" ht="14.25" customHeight="1">
      <c r="A377" s="1"/>
      <c r="F377" s="3"/>
      <c r="G377" s="1"/>
    </row>
    <row r="378" ht="14.25" customHeight="1">
      <c r="A378" s="1"/>
      <c r="F378" s="3"/>
      <c r="G378" s="1"/>
    </row>
    <row r="379" ht="14.25" customHeight="1">
      <c r="A379" s="1"/>
      <c r="F379" s="3"/>
      <c r="G379" s="1"/>
    </row>
    <row r="380" ht="14.25" customHeight="1">
      <c r="A380" s="1"/>
      <c r="F380" s="3"/>
      <c r="G380" s="1"/>
    </row>
    <row r="381" ht="14.25" customHeight="1">
      <c r="A381" s="1"/>
      <c r="F381" s="3"/>
      <c r="G381" s="1"/>
    </row>
    <row r="382" ht="14.25" customHeight="1">
      <c r="A382" s="1"/>
      <c r="F382" s="3"/>
      <c r="G382" s="1"/>
    </row>
    <row r="383" ht="14.25" customHeight="1">
      <c r="A383" s="1"/>
      <c r="F383" s="3"/>
      <c r="G383" s="1"/>
    </row>
    <row r="384" ht="14.25" customHeight="1">
      <c r="A384" s="1"/>
      <c r="F384" s="3"/>
      <c r="G384" s="1"/>
    </row>
    <row r="385" ht="14.25" customHeight="1">
      <c r="A385" s="1"/>
      <c r="F385" s="3"/>
      <c r="G385" s="1"/>
    </row>
    <row r="386" ht="14.25" customHeight="1">
      <c r="A386" s="1"/>
      <c r="F386" s="3"/>
      <c r="G386" s="1"/>
    </row>
    <row r="387" ht="14.25" customHeight="1">
      <c r="A387" s="1"/>
      <c r="F387" s="3"/>
      <c r="G387" s="1"/>
    </row>
    <row r="388" ht="14.25" customHeight="1">
      <c r="A388" s="1"/>
      <c r="F388" s="3"/>
      <c r="G388" s="1"/>
    </row>
    <row r="389" ht="14.25" customHeight="1">
      <c r="A389" s="1"/>
      <c r="F389" s="3"/>
      <c r="G389" s="1"/>
    </row>
    <row r="390" ht="14.25" customHeight="1">
      <c r="A390" s="1"/>
      <c r="F390" s="3"/>
      <c r="G390" s="1"/>
    </row>
    <row r="391" ht="14.25" customHeight="1">
      <c r="A391" s="1"/>
      <c r="F391" s="3"/>
      <c r="G391" s="1"/>
    </row>
    <row r="392" ht="14.25" customHeight="1">
      <c r="A392" s="1"/>
      <c r="F392" s="3"/>
      <c r="G392" s="1"/>
    </row>
    <row r="393" ht="14.25" customHeight="1">
      <c r="A393" s="1"/>
      <c r="F393" s="3"/>
      <c r="G393" s="1"/>
    </row>
    <row r="394" ht="14.25" customHeight="1">
      <c r="A394" s="1"/>
      <c r="F394" s="3"/>
      <c r="G394" s="1"/>
    </row>
    <row r="395" ht="14.25" customHeight="1">
      <c r="A395" s="1"/>
      <c r="F395" s="3"/>
      <c r="G395" s="1"/>
    </row>
    <row r="396" ht="14.25" customHeight="1">
      <c r="A396" s="1"/>
      <c r="F396" s="3"/>
      <c r="G396" s="1"/>
    </row>
    <row r="397" ht="14.25" customHeight="1">
      <c r="A397" s="1"/>
      <c r="F397" s="3"/>
      <c r="G397" s="1"/>
    </row>
    <row r="398" ht="14.25" customHeight="1">
      <c r="A398" s="1"/>
      <c r="F398" s="3"/>
      <c r="G398" s="1"/>
    </row>
    <row r="399" ht="14.25" customHeight="1">
      <c r="A399" s="1"/>
      <c r="F399" s="3"/>
      <c r="G399" s="1"/>
    </row>
    <row r="400" ht="14.25" customHeight="1">
      <c r="A400" s="1"/>
      <c r="F400" s="3"/>
      <c r="G400" s="1"/>
    </row>
    <row r="401" ht="14.25" customHeight="1">
      <c r="A401" s="1"/>
      <c r="F401" s="3"/>
      <c r="G401" s="1"/>
    </row>
    <row r="402" ht="14.25" customHeight="1">
      <c r="A402" s="1"/>
      <c r="F402" s="3"/>
      <c r="G402" s="1"/>
    </row>
    <row r="403" ht="14.25" customHeight="1">
      <c r="A403" s="1"/>
      <c r="F403" s="3"/>
      <c r="G403" s="1"/>
    </row>
    <row r="404" ht="14.25" customHeight="1">
      <c r="A404" s="1"/>
      <c r="F404" s="3"/>
      <c r="G404" s="1"/>
    </row>
    <row r="405" ht="14.25" customHeight="1">
      <c r="A405" s="1"/>
      <c r="F405" s="3"/>
      <c r="G405" s="1"/>
    </row>
    <row r="406" ht="14.25" customHeight="1">
      <c r="A406" s="1"/>
      <c r="F406" s="3"/>
      <c r="G406" s="1"/>
    </row>
    <row r="407" ht="14.25" customHeight="1">
      <c r="A407" s="1"/>
      <c r="F407" s="3"/>
      <c r="G407" s="1"/>
    </row>
    <row r="408" ht="14.25" customHeight="1">
      <c r="A408" s="1"/>
      <c r="F408" s="3"/>
      <c r="G408" s="1"/>
    </row>
    <row r="409" ht="14.25" customHeight="1">
      <c r="A409" s="1"/>
      <c r="F409" s="3"/>
      <c r="G409" s="1"/>
    </row>
    <row r="410" ht="14.25" customHeight="1">
      <c r="A410" s="1"/>
      <c r="F410" s="3"/>
      <c r="G410" s="1"/>
    </row>
    <row r="411" ht="14.25" customHeight="1">
      <c r="A411" s="1"/>
      <c r="F411" s="3"/>
      <c r="G411" s="1"/>
    </row>
    <row r="412" ht="14.25" customHeight="1">
      <c r="A412" s="1"/>
      <c r="F412" s="3"/>
      <c r="G412" s="1"/>
    </row>
    <row r="413" ht="14.25" customHeight="1">
      <c r="A413" s="1"/>
      <c r="F413" s="3"/>
      <c r="G413" s="1"/>
    </row>
    <row r="414" ht="14.25" customHeight="1">
      <c r="A414" s="1"/>
      <c r="F414" s="3"/>
      <c r="G414" s="1"/>
    </row>
    <row r="415" ht="14.25" customHeight="1">
      <c r="A415" s="1"/>
      <c r="F415" s="3"/>
      <c r="G415" s="1"/>
    </row>
    <row r="416" ht="14.25" customHeight="1">
      <c r="A416" s="1"/>
      <c r="F416" s="3"/>
      <c r="G416" s="1"/>
    </row>
    <row r="417" ht="14.25" customHeight="1">
      <c r="A417" s="1"/>
      <c r="F417" s="3"/>
      <c r="G417" s="1"/>
    </row>
    <row r="418" ht="14.25" customHeight="1">
      <c r="A418" s="1"/>
      <c r="F418" s="3"/>
      <c r="G418" s="1"/>
    </row>
    <row r="419" ht="14.25" customHeight="1">
      <c r="A419" s="1"/>
      <c r="F419" s="3"/>
      <c r="G419" s="1"/>
    </row>
    <row r="420" ht="14.25" customHeight="1">
      <c r="A420" s="1"/>
      <c r="F420" s="3"/>
      <c r="G420" s="1"/>
    </row>
    <row r="421" ht="14.25" customHeight="1">
      <c r="A421" s="1"/>
      <c r="F421" s="3"/>
      <c r="G421" s="1"/>
    </row>
    <row r="422" ht="14.25" customHeight="1">
      <c r="A422" s="1"/>
      <c r="F422" s="3"/>
      <c r="G422" s="1"/>
    </row>
    <row r="423" ht="14.25" customHeight="1">
      <c r="A423" s="1"/>
      <c r="F423" s="3"/>
      <c r="G423" s="1"/>
    </row>
    <row r="424" ht="14.25" customHeight="1">
      <c r="A424" s="1"/>
      <c r="F424" s="3"/>
      <c r="G424" s="1"/>
    </row>
    <row r="425" ht="14.25" customHeight="1">
      <c r="A425" s="1"/>
      <c r="F425" s="3"/>
      <c r="G425" s="1"/>
    </row>
    <row r="426" ht="14.25" customHeight="1">
      <c r="A426" s="1"/>
      <c r="F426" s="3"/>
      <c r="G426" s="1"/>
    </row>
    <row r="427" ht="14.25" customHeight="1">
      <c r="A427" s="1"/>
      <c r="F427" s="3"/>
      <c r="G427" s="1"/>
    </row>
    <row r="428" ht="14.25" customHeight="1">
      <c r="A428" s="1"/>
      <c r="F428" s="3"/>
      <c r="G428" s="1"/>
    </row>
    <row r="429" ht="14.25" customHeight="1">
      <c r="A429" s="1"/>
      <c r="F429" s="3"/>
      <c r="G429" s="1"/>
    </row>
    <row r="430" ht="14.25" customHeight="1">
      <c r="A430" s="1"/>
      <c r="F430" s="3"/>
      <c r="G430" s="1"/>
    </row>
    <row r="431" ht="14.25" customHeight="1">
      <c r="A431" s="1"/>
      <c r="F431" s="3"/>
      <c r="G431" s="1"/>
    </row>
    <row r="432" ht="14.25" customHeight="1">
      <c r="A432" s="1"/>
      <c r="F432" s="3"/>
      <c r="G432" s="1"/>
    </row>
    <row r="433" ht="14.25" customHeight="1">
      <c r="A433" s="1"/>
      <c r="F433" s="3"/>
      <c r="G433" s="1"/>
    </row>
    <row r="434" ht="14.25" customHeight="1">
      <c r="A434" s="1"/>
      <c r="F434" s="3"/>
      <c r="G434" s="1"/>
    </row>
    <row r="435" ht="14.25" customHeight="1">
      <c r="A435" s="1"/>
      <c r="F435" s="3"/>
      <c r="G435" s="1"/>
    </row>
    <row r="436" ht="14.25" customHeight="1">
      <c r="A436" s="1"/>
      <c r="F436" s="3"/>
      <c r="G436" s="1"/>
    </row>
    <row r="437" ht="14.25" customHeight="1">
      <c r="A437" s="1"/>
      <c r="F437" s="3"/>
      <c r="G437" s="1"/>
    </row>
    <row r="438" ht="14.25" customHeight="1">
      <c r="A438" s="1"/>
      <c r="F438" s="3"/>
      <c r="G438" s="1"/>
    </row>
    <row r="439" ht="14.25" customHeight="1">
      <c r="A439" s="1"/>
      <c r="F439" s="3"/>
      <c r="G439" s="1"/>
    </row>
    <row r="440" ht="14.25" customHeight="1">
      <c r="A440" s="1"/>
      <c r="F440" s="3"/>
      <c r="G440" s="1"/>
    </row>
    <row r="441" ht="14.25" customHeight="1">
      <c r="A441" s="1"/>
      <c r="F441" s="3"/>
      <c r="G441" s="1"/>
    </row>
    <row r="442" ht="14.25" customHeight="1">
      <c r="A442" s="1"/>
      <c r="F442" s="3"/>
      <c r="G442" s="1"/>
    </row>
    <row r="443" ht="14.25" customHeight="1">
      <c r="A443" s="1"/>
      <c r="F443" s="3"/>
      <c r="G443" s="1"/>
    </row>
    <row r="444" ht="14.25" customHeight="1">
      <c r="A444" s="1"/>
      <c r="F444" s="3"/>
      <c r="G444" s="1"/>
    </row>
    <row r="445" ht="14.25" customHeight="1">
      <c r="A445" s="1"/>
      <c r="F445" s="3"/>
      <c r="G445" s="1"/>
    </row>
    <row r="446" ht="14.25" customHeight="1">
      <c r="A446" s="1"/>
      <c r="F446" s="3"/>
      <c r="G446" s="1"/>
    </row>
    <row r="447" ht="14.25" customHeight="1">
      <c r="A447" s="1"/>
      <c r="F447" s="3"/>
      <c r="G447" s="1"/>
    </row>
    <row r="448" ht="14.25" customHeight="1">
      <c r="A448" s="1"/>
      <c r="F448" s="3"/>
      <c r="G448" s="1"/>
    </row>
    <row r="449" ht="14.25" customHeight="1">
      <c r="A449" s="1"/>
      <c r="F449" s="3"/>
      <c r="G449" s="1"/>
    </row>
    <row r="450" ht="14.25" customHeight="1">
      <c r="A450" s="1"/>
      <c r="F450" s="3"/>
      <c r="G450" s="1"/>
    </row>
    <row r="451" ht="14.25" customHeight="1">
      <c r="A451" s="1"/>
      <c r="F451" s="3"/>
      <c r="G451" s="1"/>
    </row>
    <row r="452" ht="14.25" customHeight="1">
      <c r="A452" s="1"/>
      <c r="F452" s="3"/>
      <c r="G452" s="1"/>
    </row>
    <row r="453" ht="14.25" customHeight="1">
      <c r="A453" s="1"/>
      <c r="F453" s="3"/>
      <c r="G453" s="1"/>
    </row>
    <row r="454" ht="14.25" customHeight="1">
      <c r="A454" s="1"/>
      <c r="F454" s="3"/>
      <c r="G454" s="1"/>
    </row>
    <row r="455" ht="14.25" customHeight="1">
      <c r="A455" s="1"/>
      <c r="F455" s="3"/>
      <c r="G455" s="1"/>
    </row>
    <row r="456" ht="14.25" customHeight="1">
      <c r="A456" s="1"/>
      <c r="F456" s="3"/>
      <c r="G456" s="1"/>
    </row>
    <row r="457" ht="14.25" customHeight="1">
      <c r="A457" s="1"/>
      <c r="F457" s="3"/>
      <c r="G457" s="1"/>
    </row>
    <row r="458" ht="14.25" customHeight="1">
      <c r="A458" s="1"/>
      <c r="F458" s="3"/>
      <c r="G458" s="1"/>
    </row>
    <row r="459" ht="14.25" customHeight="1">
      <c r="A459" s="1"/>
      <c r="F459" s="3"/>
      <c r="G459" s="1"/>
    </row>
    <row r="460" ht="14.25" customHeight="1">
      <c r="A460" s="1"/>
      <c r="F460" s="3"/>
      <c r="G460" s="1"/>
    </row>
    <row r="461" ht="14.25" customHeight="1">
      <c r="A461" s="1"/>
      <c r="F461" s="3"/>
      <c r="G461" s="1"/>
    </row>
    <row r="462" ht="14.25" customHeight="1">
      <c r="A462" s="1"/>
      <c r="F462" s="3"/>
      <c r="G462" s="1"/>
    </row>
    <row r="463" ht="14.25" customHeight="1">
      <c r="A463" s="1"/>
      <c r="F463" s="3"/>
      <c r="G463" s="1"/>
    </row>
    <row r="464" ht="14.25" customHeight="1">
      <c r="A464" s="1"/>
      <c r="F464" s="3"/>
      <c r="G464" s="1"/>
    </row>
    <row r="465" ht="14.25" customHeight="1">
      <c r="A465" s="1"/>
      <c r="F465" s="3"/>
      <c r="G465" s="1"/>
    </row>
    <row r="466" ht="14.25" customHeight="1">
      <c r="A466" s="1"/>
      <c r="F466" s="3"/>
      <c r="G466" s="1"/>
    </row>
    <row r="467" ht="14.25" customHeight="1">
      <c r="A467" s="1"/>
      <c r="F467" s="3"/>
      <c r="G467" s="1"/>
    </row>
    <row r="468" ht="14.25" customHeight="1">
      <c r="A468" s="1"/>
      <c r="F468" s="3"/>
      <c r="G468" s="1"/>
    </row>
    <row r="469" ht="14.25" customHeight="1">
      <c r="A469" s="1"/>
      <c r="F469" s="3"/>
      <c r="G469" s="1"/>
    </row>
    <row r="470" ht="14.25" customHeight="1">
      <c r="A470" s="1"/>
      <c r="F470" s="3"/>
      <c r="G470" s="1"/>
    </row>
    <row r="471" ht="14.25" customHeight="1">
      <c r="A471" s="1"/>
      <c r="F471" s="3"/>
      <c r="G471" s="1"/>
    </row>
    <row r="472" ht="14.25" customHeight="1">
      <c r="A472" s="1"/>
      <c r="F472" s="3"/>
      <c r="G472" s="1"/>
    </row>
    <row r="473" ht="14.25" customHeight="1">
      <c r="A473" s="1"/>
      <c r="F473" s="3"/>
      <c r="G473" s="1"/>
    </row>
    <row r="474" ht="14.25" customHeight="1">
      <c r="A474" s="1"/>
      <c r="F474" s="3"/>
      <c r="G474" s="1"/>
    </row>
    <row r="475" ht="14.25" customHeight="1">
      <c r="A475" s="1"/>
      <c r="F475" s="3"/>
      <c r="G475" s="1"/>
    </row>
    <row r="476" ht="14.25" customHeight="1">
      <c r="A476" s="1"/>
      <c r="F476" s="3"/>
      <c r="G476" s="1"/>
    </row>
    <row r="477" ht="14.25" customHeight="1">
      <c r="A477" s="1"/>
      <c r="F477" s="3"/>
      <c r="G477" s="1"/>
    </row>
    <row r="478" ht="14.25" customHeight="1">
      <c r="A478" s="1"/>
      <c r="F478" s="3"/>
      <c r="G478" s="1"/>
    </row>
    <row r="479" ht="14.25" customHeight="1">
      <c r="A479" s="1"/>
      <c r="F479" s="3"/>
      <c r="G479" s="1"/>
    </row>
    <row r="480" ht="14.25" customHeight="1">
      <c r="A480" s="1"/>
      <c r="F480" s="3"/>
      <c r="G480" s="1"/>
    </row>
    <row r="481" ht="14.25" customHeight="1">
      <c r="A481" s="1"/>
      <c r="F481" s="3"/>
      <c r="G481" s="1"/>
    </row>
    <row r="482" ht="14.25" customHeight="1">
      <c r="A482" s="1"/>
      <c r="F482" s="3"/>
      <c r="G482" s="1"/>
    </row>
    <row r="483" ht="14.25" customHeight="1">
      <c r="A483" s="1"/>
      <c r="F483" s="3"/>
      <c r="G483" s="1"/>
    </row>
    <row r="484" ht="14.25" customHeight="1">
      <c r="A484" s="1"/>
      <c r="F484" s="3"/>
      <c r="G484" s="1"/>
    </row>
    <row r="485" ht="14.25" customHeight="1">
      <c r="A485" s="1"/>
      <c r="F485" s="3"/>
      <c r="G485" s="1"/>
    </row>
    <row r="486" ht="14.25" customHeight="1">
      <c r="A486" s="1"/>
      <c r="F486" s="3"/>
      <c r="G486" s="1"/>
    </row>
    <row r="487" ht="14.25" customHeight="1">
      <c r="A487" s="1"/>
      <c r="F487" s="3"/>
      <c r="G487" s="1"/>
    </row>
    <row r="488" ht="14.25" customHeight="1">
      <c r="A488" s="1"/>
      <c r="F488" s="3"/>
      <c r="G488" s="1"/>
    </row>
    <row r="489" ht="14.25" customHeight="1">
      <c r="A489" s="1"/>
      <c r="F489" s="3"/>
      <c r="G489" s="1"/>
    </row>
    <row r="490" ht="14.25" customHeight="1">
      <c r="A490" s="1"/>
      <c r="F490" s="3"/>
      <c r="G490" s="1"/>
    </row>
    <row r="491" ht="14.25" customHeight="1">
      <c r="A491" s="1"/>
      <c r="F491" s="3"/>
      <c r="G491" s="1"/>
    </row>
    <row r="492" ht="14.25" customHeight="1">
      <c r="A492" s="1"/>
      <c r="F492" s="3"/>
      <c r="G492" s="1"/>
    </row>
    <row r="493" ht="14.25" customHeight="1">
      <c r="A493" s="1"/>
      <c r="F493" s="3"/>
      <c r="G493" s="1"/>
    </row>
    <row r="494" ht="14.25" customHeight="1">
      <c r="A494" s="1"/>
      <c r="F494" s="3"/>
      <c r="G494" s="1"/>
    </row>
    <row r="495" ht="14.25" customHeight="1">
      <c r="A495" s="1"/>
      <c r="F495" s="3"/>
      <c r="G495" s="1"/>
    </row>
    <row r="496" ht="14.25" customHeight="1">
      <c r="A496" s="1"/>
      <c r="F496" s="3"/>
      <c r="G496" s="1"/>
    </row>
    <row r="497" ht="14.25" customHeight="1">
      <c r="A497" s="1"/>
      <c r="F497" s="3"/>
      <c r="G497" s="1"/>
    </row>
    <row r="498" ht="14.25" customHeight="1">
      <c r="A498" s="1"/>
      <c r="F498" s="3"/>
      <c r="G498" s="1"/>
    </row>
    <row r="499" ht="14.25" customHeight="1">
      <c r="A499" s="1"/>
      <c r="F499" s="3"/>
      <c r="G499" s="1"/>
    </row>
    <row r="500" ht="14.25" customHeight="1">
      <c r="A500" s="1"/>
      <c r="F500" s="3"/>
      <c r="G500" s="1"/>
    </row>
    <row r="501" ht="14.25" customHeight="1">
      <c r="A501" s="1"/>
      <c r="F501" s="3"/>
      <c r="G501" s="1"/>
    </row>
    <row r="502" ht="14.25" customHeight="1">
      <c r="A502" s="1"/>
      <c r="F502" s="3"/>
      <c r="G502" s="1"/>
    </row>
    <row r="503" ht="14.25" customHeight="1">
      <c r="A503" s="1"/>
      <c r="F503" s="3"/>
      <c r="G503" s="1"/>
    </row>
    <row r="504" ht="14.25" customHeight="1">
      <c r="A504" s="1"/>
      <c r="F504" s="3"/>
      <c r="G504" s="1"/>
    </row>
    <row r="505" ht="14.25" customHeight="1">
      <c r="A505" s="1"/>
      <c r="F505" s="3"/>
      <c r="G505" s="1"/>
    </row>
    <row r="506" ht="14.25" customHeight="1">
      <c r="A506" s="1"/>
      <c r="F506" s="3"/>
      <c r="G506" s="1"/>
    </row>
    <row r="507" ht="14.25" customHeight="1">
      <c r="A507" s="1"/>
      <c r="F507" s="3"/>
      <c r="G507" s="1"/>
    </row>
    <row r="508" ht="14.25" customHeight="1">
      <c r="A508" s="1"/>
      <c r="F508" s="3"/>
      <c r="G508" s="1"/>
    </row>
    <row r="509" ht="14.25" customHeight="1">
      <c r="A509" s="1"/>
      <c r="F509" s="3"/>
      <c r="G509" s="1"/>
    </row>
    <row r="510" ht="14.25" customHeight="1">
      <c r="A510" s="1"/>
      <c r="F510" s="3"/>
      <c r="G510" s="1"/>
    </row>
    <row r="511" ht="14.25" customHeight="1">
      <c r="A511" s="1"/>
      <c r="F511" s="3"/>
      <c r="G511" s="1"/>
    </row>
    <row r="512" ht="14.25" customHeight="1">
      <c r="A512" s="1"/>
      <c r="F512" s="3"/>
      <c r="G512" s="1"/>
    </row>
    <row r="513" ht="14.25" customHeight="1">
      <c r="A513" s="1"/>
      <c r="F513" s="3"/>
      <c r="G513" s="1"/>
    </row>
    <row r="514" ht="14.25" customHeight="1">
      <c r="A514" s="1"/>
      <c r="F514" s="3"/>
      <c r="G514" s="1"/>
    </row>
    <row r="515" ht="14.25" customHeight="1">
      <c r="A515" s="1"/>
      <c r="F515" s="3"/>
      <c r="G515" s="1"/>
    </row>
    <row r="516" ht="14.25" customHeight="1">
      <c r="A516" s="1"/>
      <c r="F516" s="3"/>
      <c r="G516" s="1"/>
    </row>
    <row r="517" ht="14.25" customHeight="1">
      <c r="A517" s="1"/>
      <c r="F517" s="3"/>
      <c r="G517" s="1"/>
    </row>
    <row r="518" ht="14.25" customHeight="1">
      <c r="A518" s="1"/>
      <c r="F518" s="3"/>
      <c r="G518" s="1"/>
    </row>
    <row r="519" ht="14.25" customHeight="1">
      <c r="A519" s="1"/>
      <c r="F519" s="3"/>
      <c r="G519" s="1"/>
    </row>
    <row r="520" ht="14.25" customHeight="1">
      <c r="A520" s="1"/>
      <c r="F520" s="3"/>
      <c r="G520" s="1"/>
    </row>
    <row r="521" ht="14.25" customHeight="1">
      <c r="A521" s="1"/>
      <c r="F521" s="3"/>
      <c r="G521" s="1"/>
    </row>
    <row r="522" ht="14.25" customHeight="1">
      <c r="A522" s="1"/>
      <c r="F522" s="3"/>
      <c r="G522" s="1"/>
    </row>
    <row r="523" ht="14.25" customHeight="1">
      <c r="A523" s="1"/>
      <c r="F523" s="3"/>
      <c r="G523" s="1"/>
    </row>
    <row r="524" ht="14.25" customHeight="1">
      <c r="A524" s="1"/>
      <c r="F524" s="3"/>
      <c r="G524" s="1"/>
    </row>
    <row r="525" ht="14.25" customHeight="1">
      <c r="A525" s="1"/>
      <c r="F525" s="3"/>
      <c r="G525" s="1"/>
    </row>
    <row r="526" ht="14.25" customHeight="1">
      <c r="A526" s="1"/>
      <c r="F526" s="3"/>
      <c r="G526" s="1"/>
    </row>
    <row r="527" ht="14.25" customHeight="1">
      <c r="A527" s="1"/>
      <c r="F527" s="3"/>
      <c r="G527" s="1"/>
    </row>
    <row r="528" ht="14.25" customHeight="1">
      <c r="A528" s="1"/>
      <c r="F528" s="3"/>
      <c r="G528" s="1"/>
    </row>
    <row r="529" ht="14.25" customHeight="1">
      <c r="A529" s="1"/>
      <c r="F529" s="3"/>
      <c r="G529" s="1"/>
    </row>
    <row r="530" ht="14.25" customHeight="1">
      <c r="A530" s="1"/>
      <c r="F530" s="3"/>
      <c r="G530" s="1"/>
    </row>
    <row r="531" ht="14.25" customHeight="1">
      <c r="A531" s="1"/>
      <c r="F531" s="3"/>
      <c r="G531" s="1"/>
    </row>
    <row r="532" ht="14.25" customHeight="1">
      <c r="A532" s="1"/>
      <c r="F532" s="3"/>
      <c r="G532" s="1"/>
    </row>
    <row r="533" ht="14.25" customHeight="1">
      <c r="A533" s="1"/>
      <c r="F533" s="3"/>
      <c r="G533" s="1"/>
    </row>
    <row r="534" ht="14.25" customHeight="1">
      <c r="A534" s="1"/>
      <c r="F534" s="3"/>
      <c r="G534" s="1"/>
    </row>
    <row r="535" ht="14.25" customHeight="1">
      <c r="A535" s="1"/>
      <c r="F535" s="3"/>
      <c r="G535" s="1"/>
    </row>
    <row r="536" ht="14.25" customHeight="1">
      <c r="A536" s="1"/>
      <c r="F536" s="3"/>
      <c r="G536" s="1"/>
    </row>
    <row r="537" ht="14.25" customHeight="1">
      <c r="A537" s="1"/>
      <c r="F537" s="3"/>
      <c r="G537" s="1"/>
    </row>
    <row r="538" ht="14.25" customHeight="1">
      <c r="A538" s="1"/>
      <c r="F538" s="3"/>
      <c r="G538" s="1"/>
    </row>
    <row r="539" ht="14.25" customHeight="1">
      <c r="A539" s="1"/>
      <c r="F539" s="3"/>
      <c r="G539" s="1"/>
    </row>
    <row r="540" ht="14.25" customHeight="1">
      <c r="A540" s="1"/>
      <c r="F540" s="3"/>
      <c r="G540" s="1"/>
    </row>
    <row r="541" ht="14.25" customHeight="1">
      <c r="A541" s="1"/>
      <c r="F541" s="3"/>
      <c r="G541" s="1"/>
    </row>
    <row r="542" ht="14.25" customHeight="1">
      <c r="A542" s="1"/>
      <c r="F542" s="3"/>
      <c r="G542" s="1"/>
    </row>
    <row r="543" ht="14.25" customHeight="1">
      <c r="A543" s="1"/>
      <c r="F543" s="3"/>
      <c r="G543" s="1"/>
    </row>
    <row r="544" ht="14.25" customHeight="1">
      <c r="A544" s="1"/>
      <c r="F544" s="3"/>
      <c r="G544" s="1"/>
    </row>
    <row r="545" ht="14.25" customHeight="1">
      <c r="A545" s="1"/>
      <c r="F545" s="3"/>
      <c r="G545" s="1"/>
    </row>
    <row r="546" ht="14.25" customHeight="1">
      <c r="A546" s="1"/>
      <c r="F546" s="3"/>
      <c r="G546" s="1"/>
    </row>
    <row r="547" ht="14.25" customHeight="1">
      <c r="A547" s="1"/>
      <c r="F547" s="3"/>
      <c r="G547" s="1"/>
    </row>
    <row r="548" ht="14.25" customHeight="1">
      <c r="A548" s="1"/>
      <c r="F548" s="3"/>
      <c r="G548" s="1"/>
    </row>
    <row r="549" ht="14.25" customHeight="1">
      <c r="A549" s="1"/>
      <c r="F549" s="3"/>
      <c r="G549" s="1"/>
    </row>
    <row r="550" ht="14.25" customHeight="1">
      <c r="A550" s="1"/>
      <c r="F550" s="3"/>
      <c r="G550" s="1"/>
    </row>
    <row r="551" ht="14.25" customHeight="1">
      <c r="A551" s="1"/>
      <c r="F551" s="3"/>
      <c r="G551" s="1"/>
    </row>
    <row r="552" ht="14.25" customHeight="1">
      <c r="A552" s="1"/>
      <c r="F552" s="3"/>
      <c r="G552" s="1"/>
    </row>
    <row r="553" ht="14.25" customHeight="1">
      <c r="A553" s="1"/>
      <c r="F553" s="3"/>
      <c r="G553" s="1"/>
    </row>
    <row r="554" ht="14.25" customHeight="1">
      <c r="A554" s="1"/>
      <c r="F554" s="3"/>
      <c r="G554" s="1"/>
    </row>
    <row r="555" ht="14.25" customHeight="1">
      <c r="A555" s="1"/>
      <c r="F555" s="3"/>
      <c r="G555" s="1"/>
    </row>
    <row r="556" ht="14.25" customHeight="1">
      <c r="A556" s="1"/>
      <c r="F556" s="3"/>
      <c r="G556" s="1"/>
    </row>
    <row r="557" ht="14.25" customHeight="1">
      <c r="A557" s="1"/>
      <c r="F557" s="3"/>
      <c r="G557" s="1"/>
    </row>
    <row r="558" ht="14.25" customHeight="1">
      <c r="A558" s="1"/>
      <c r="F558" s="3"/>
      <c r="G558" s="1"/>
    </row>
    <row r="559" ht="14.25" customHeight="1">
      <c r="A559" s="1"/>
      <c r="F559" s="3"/>
      <c r="G559" s="1"/>
    </row>
    <row r="560" ht="14.25" customHeight="1">
      <c r="A560" s="1"/>
      <c r="F560" s="3"/>
      <c r="G560" s="1"/>
    </row>
    <row r="561" ht="14.25" customHeight="1">
      <c r="A561" s="1"/>
      <c r="F561" s="3"/>
      <c r="G561" s="1"/>
    </row>
    <row r="562" ht="14.25" customHeight="1">
      <c r="A562" s="1"/>
      <c r="F562" s="3"/>
      <c r="G562" s="1"/>
    </row>
    <row r="563" ht="14.25" customHeight="1">
      <c r="A563" s="1"/>
      <c r="F563" s="3"/>
      <c r="G563" s="1"/>
    </row>
    <row r="564" ht="14.25" customHeight="1">
      <c r="A564" s="1"/>
      <c r="F564" s="3"/>
      <c r="G564" s="1"/>
    </row>
    <row r="565" ht="14.25" customHeight="1">
      <c r="A565" s="1"/>
      <c r="F565" s="3"/>
      <c r="G565" s="1"/>
    </row>
    <row r="566" ht="14.25" customHeight="1">
      <c r="A566" s="1"/>
      <c r="F566" s="3"/>
      <c r="G566" s="1"/>
    </row>
    <row r="567" ht="14.25" customHeight="1">
      <c r="A567" s="1"/>
      <c r="F567" s="3"/>
      <c r="G567" s="1"/>
    </row>
    <row r="568" ht="14.25" customHeight="1">
      <c r="A568" s="1"/>
      <c r="F568" s="3"/>
      <c r="G568" s="1"/>
    </row>
    <row r="569" ht="14.25" customHeight="1">
      <c r="A569" s="1"/>
      <c r="F569" s="3"/>
      <c r="G569" s="1"/>
    </row>
    <row r="570" ht="14.25" customHeight="1">
      <c r="A570" s="1"/>
      <c r="F570" s="3"/>
      <c r="G570" s="1"/>
    </row>
    <row r="571" ht="14.25" customHeight="1">
      <c r="A571" s="1"/>
      <c r="F571" s="3"/>
      <c r="G571" s="1"/>
    </row>
    <row r="572" ht="14.25" customHeight="1">
      <c r="A572" s="1"/>
      <c r="F572" s="3"/>
      <c r="G572" s="1"/>
    </row>
    <row r="573" ht="14.25" customHeight="1">
      <c r="A573" s="1"/>
      <c r="F573" s="3"/>
      <c r="G573" s="1"/>
    </row>
    <row r="574" ht="14.25" customHeight="1">
      <c r="A574" s="1"/>
      <c r="F574" s="3"/>
      <c r="G574" s="1"/>
    </row>
    <row r="575" ht="14.25" customHeight="1">
      <c r="A575" s="1"/>
      <c r="F575" s="3"/>
      <c r="G575" s="1"/>
    </row>
    <row r="576" ht="14.25" customHeight="1">
      <c r="A576" s="1"/>
      <c r="F576" s="3"/>
      <c r="G576" s="1"/>
    </row>
    <row r="577" ht="14.25" customHeight="1">
      <c r="A577" s="1"/>
      <c r="F577" s="3"/>
      <c r="G577" s="1"/>
    </row>
    <row r="578" ht="14.25" customHeight="1">
      <c r="A578" s="1"/>
      <c r="F578" s="3"/>
      <c r="G578" s="1"/>
    </row>
    <row r="579" ht="14.25" customHeight="1">
      <c r="A579" s="1"/>
      <c r="F579" s="3"/>
      <c r="G579" s="1"/>
    </row>
    <row r="580" ht="14.25" customHeight="1">
      <c r="A580" s="1"/>
      <c r="F580" s="3"/>
      <c r="G580" s="1"/>
    </row>
    <row r="581" ht="14.25" customHeight="1">
      <c r="A581" s="1"/>
      <c r="F581" s="3"/>
      <c r="G581" s="1"/>
    </row>
    <row r="582" ht="14.25" customHeight="1">
      <c r="A582" s="1"/>
      <c r="F582" s="3"/>
      <c r="G582" s="1"/>
    </row>
    <row r="583" ht="14.25" customHeight="1">
      <c r="A583" s="1"/>
      <c r="F583" s="3"/>
      <c r="G583" s="1"/>
    </row>
    <row r="584" ht="14.25" customHeight="1">
      <c r="A584" s="1"/>
      <c r="F584" s="3"/>
      <c r="G584" s="1"/>
    </row>
    <row r="585" ht="14.25" customHeight="1">
      <c r="A585" s="1"/>
      <c r="F585" s="3"/>
      <c r="G585" s="1"/>
    </row>
    <row r="586" ht="14.25" customHeight="1">
      <c r="A586" s="1"/>
      <c r="F586" s="3"/>
      <c r="G586" s="1"/>
    </row>
    <row r="587" ht="14.25" customHeight="1">
      <c r="A587" s="1"/>
      <c r="F587" s="3"/>
      <c r="G587" s="1"/>
    </row>
    <row r="588" ht="14.25" customHeight="1">
      <c r="A588" s="1"/>
      <c r="F588" s="3"/>
      <c r="G588" s="1"/>
    </row>
    <row r="589" ht="14.25" customHeight="1">
      <c r="A589" s="1"/>
      <c r="F589" s="3"/>
      <c r="G589" s="1"/>
    </row>
    <row r="590" ht="14.25" customHeight="1">
      <c r="A590" s="1"/>
      <c r="F590" s="3"/>
      <c r="G590" s="1"/>
    </row>
    <row r="591" ht="14.25" customHeight="1">
      <c r="A591" s="1"/>
      <c r="F591" s="3"/>
      <c r="G591" s="1"/>
    </row>
    <row r="592" ht="14.25" customHeight="1">
      <c r="A592" s="1"/>
      <c r="F592" s="3"/>
      <c r="G592" s="1"/>
    </row>
    <row r="593" ht="14.25" customHeight="1">
      <c r="A593" s="1"/>
      <c r="F593" s="3"/>
      <c r="G593" s="1"/>
    </row>
    <row r="594" ht="14.25" customHeight="1">
      <c r="A594" s="1"/>
      <c r="F594" s="3"/>
      <c r="G594" s="1"/>
    </row>
    <row r="595" ht="14.25" customHeight="1">
      <c r="A595" s="1"/>
      <c r="F595" s="3"/>
      <c r="G595" s="1"/>
    </row>
    <row r="596" ht="14.25" customHeight="1">
      <c r="A596" s="1"/>
      <c r="F596" s="3"/>
      <c r="G596" s="1"/>
    </row>
    <row r="597" ht="14.25" customHeight="1">
      <c r="A597" s="1"/>
      <c r="F597" s="3"/>
      <c r="G597" s="1"/>
    </row>
    <row r="598" ht="14.25" customHeight="1">
      <c r="A598" s="1"/>
      <c r="F598" s="3"/>
      <c r="G598" s="1"/>
    </row>
    <row r="599" ht="14.25" customHeight="1">
      <c r="A599" s="1"/>
      <c r="F599" s="3"/>
      <c r="G599" s="1"/>
    </row>
    <row r="600" ht="14.25" customHeight="1">
      <c r="A600" s="1"/>
      <c r="F600" s="3"/>
      <c r="G600" s="1"/>
    </row>
    <row r="601" ht="14.25" customHeight="1">
      <c r="A601" s="1"/>
      <c r="F601" s="3"/>
      <c r="G601" s="1"/>
    </row>
    <row r="602" ht="14.25" customHeight="1">
      <c r="A602" s="1"/>
      <c r="F602" s="3"/>
      <c r="G602" s="1"/>
    </row>
    <row r="603" ht="14.25" customHeight="1">
      <c r="A603" s="1"/>
      <c r="F603" s="3"/>
      <c r="G603" s="1"/>
    </row>
    <row r="604" ht="14.25" customHeight="1">
      <c r="A604" s="1"/>
      <c r="F604" s="3"/>
      <c r="G604" s="1"/>
    </row>
    <row r="605" ht="14.25" customHeight="1">
      <c r="A605" s="1"/>
      <c r="F605" s="3"/>
      <c r="G605" s="1"/>
    </row>
    <row r="606" ht="14.25" customHeight="1">
      <c r="A606" s="1"/>
      <c r="F606" s="3"/>
      <c r="G606" s="1"/>
    </row>
    <row r="607" ht="14.25" customHeight="1">
      <c r="A607" s="1"/>
      <c r="F607" s="3"/>
      <c r="G607" s="1"/>
    </row>
    <row r="608" ht="14.25" customHeight="1">
      <c r="A608" s="1"/>
      <c r="F608" s="3"/>
      <c r="G608" s="1"/>
    </row>
    <row r="609" ht="14.25" customHeight="1">
      <c r="A609" s="1"/>
      <c r="F609" s="3"/>
      <c r="G609" s="1"/>
    </row>
    <row r="610" ht="14.25" customHeight="1">
      <c r="A610" s="1"/>
      <c r="F610" s="3"/>
      <c r="G610" s="1"/>
    </row>
    <row r="611" ht="14.25" customHeight="1">
      <c r="A611" s="1"/>
      <c r="F611" s="3"/>
      <c r="G611" s="1"/>
    </row>
    <row r="612" ht="14.25" customHeight="1">
      <c r="A612" s="1"/>
      <c r="F612" s="3"/>
      <c r="G612" s="1"/>
    </row>
    <row r="613" ht="14.25" customHeight="1">
      <c r="A613" s="1"/>
      <c r="F613" s="3"/>
      <c r="G613" s="1"/>
    </row>
    <row r="614" ht="14.25" customHeight="1">
      <c r="A614" s="1"/>
      <c r="F614" s="3"/>
      <c r="G614" s="1"/>
    </row>
    <row r="615" ht="14.25" customHeight="1">
      <c r="A615" s="1"/>
      <c r="F615" s="3"/>
      <c r="G615" s="1"/>
    </row>
    <row r="616" ht="14.25" customHeight="1">
      <c r="A616" s="1"/>
      <c r="F616" s="3"/>
      <c r="G616" s="1"/>
    </row>
    <row r="617" ht="14.25" customHeight="1">
      <c r="A617" s="1"/>
      <c r="F617" s="3"/>
      <c r="G617" s="1"/>
    </row>
    <row r="618" ht="14.25" customHeight="1">
      <c r="A618" s="1"/>
      <c r="F618" s="3"/>
      <c r="G618" s="1"/>
    </row>
    <row r="619" ht="14.25" customHeight="1">
      <c r="A619" s="1"/>
      <c r="F619" s="3"/>
      <c r="G619" s="1"/>
    </row>
    <row r="620" ht="14.25" customHeight="1">
      <c r="A620" s="1"/>
      <c r="F620" s="3"/>
      <c r="G620" s="1"/>
    </row>
    <row r="621" ht="14.25" customHeight="1">
      <c r="A621" s="1"/>
      <c r="F621" s="3"/>
      <c r="G621" s="1"/>
    </row>
    <row r="622" ht="14.25" customHeight="1">
      <c r="A622" s="1"/>
      <c r="F622" s="3"/>
      <c r="G622" s="1"/>
    </row>
    <row r="623" ht="14.25" customHeight="1">
      <c r="A623" s="1"/>
      <c r="F623" s="3"/>
      <c r="G623" s="1"/>
    </row>
    <row r="624" ht="14.25" customHeight="1">
      <c r="A624" s="1"/>
      <c r="F624" s="3"/>
      <c r="G624" s="1"/>
    </row>
    <row r="625" ht="14.25" customHeight="1">
      <c r="A625" s="1"/>
      <c r="F625" s="3"/>
      <c r="G625" s="1"/>
    </row>
    <row r="626" ht="14.25" customHeight="1">
      <c r="A626" s="1"/>
      <c r="F626" s="3"/>
      <c r="G626" s="1"/>
    </row>
    <row r="627" ht="14.25" customHeight="1">
      <c r="A627" s="1"/>
      <c r="F627" s="3"/>
      <c r="G627" s="1"/>
    </row>
    <row r="628" ht="14.25" customHeight="1">
      <c r="A628" s="1"/>
      <c r="F628" s="3"/>
      <c r="G628" s="1"/>
    </row>
    <row r="629" ht="14.25" customHeight="1">
      <c r="A629" s="1"/>
      <c r="F629" s="3"/>
      <c r="G629" s="1"/>
    </row>
    <row r="630" ht="14.25" customHeight="1">
      <c r="A630" s="1"/>
      <c r="F630" s="3"/>
      <c r="G630" s="1"/>
    </row>
    <row r="631" ht="14.25" customHeight="1">
      <c r="A631" s="1"/>
      <c r="F631" s="3"/>
      <c r="G631" s="1"/>
    </row>
    <row r="632" ht="14.25" customHeight="1">
      <c r="A632" s="1"/>
      <c r="F632" s="3"/>
      <c r="G632" s="1"/>
    </row>
    <row r="633" ht="14.25" customHeight="1">
      <c r="A633" s="1"/>
      <c r="F633" s="3"/>
      <c r="G633" s="1"/>
    </row>
    <row r="634" ht="14.25" customHeight="1">
      <c r="A634" s="1"/>
      <c r="F634" s="3"/>
      <c r="G634" s="1"/>
    </row>
    <row r="635" ht="14.25" customHeight="1">
      <c r="A635" s="1"/>
      <c r="F635" s="3"/>
      <c r="G635" s="1"/>
    </row>
    <row r="636" ht="14.25" customHeight="1">
      <c r="A636" s="1"/>
      <c r="F636" s="3"/>
      <c r="G636" s="1"/>
    </row>
    <row r="637" ht="14.25" customHeight="1">
      <c r="A637" s="1"/>
      <c r="F637" s="3"/>
      <c r="G637" s="1"/>
    </row>
    <row r="638" ht="14.25" customHeight="1">
      <c r="A638" s="1"/>
      <c r="F638" s="3"/>
      <c r="G638" s="1"/>
    </row>
    <row r="639" ht="14.25" customHeight="1">
      <c r="A639" s="1"/>
      <c r="F639" s="3"/>
      <c r="G639" s="1"/>
    </row>
    <row r="640" ht="14.25" customHeight="1">
      <c r="A640" s="1"/>
      <c r="F640" s="3"/>
      <c r="G640" s="1"/>
    </row>
    <row r="641" ht="14.25" customHeight="1">
      <c r="A641" s="1"/>
      <c r="F641" s="3"/>
      <c r="G641" s="1"/>
    </row>
    <row r="642" ht="14.25" customHeight="1">
      <c r="A642" s="1"/>
      <c r="F642" s="3"/>
      <c r="G642" s="1"/>
    </row>
    <row r="643" ht="14.25" customHeight="1">
      <c r="A643" s="1"/>
      <c r="F643" s="3"/>
      <c r="G643" s="1"/>
    </row>
    <row r="644" ht="14.25" customHeight="1">
      <c r="A644" s="1"/>
      <c r="F644" s="3"/>
      <c r="G644" s="1"/>
    </row>
    <row r="645" ht="14.25" customHeight="1">
      <c r="A645" s="1"/>
      <c r="F645" s="3"/>
      <c r="G645" s="1"/>
    </row>
    <row r="646" ht="14.25" customHeight="1">
      <c r="A646" s="1"/>
      <c r="F646" s="3"/>
      <c r="G646" s="1"/>
    </row>
    <row r="647" ht="14.25" customHeight="1">
      <c r="A647" s="1"/>
      <c r="F647" s="3"/>
      <c r="G647" s="1"/>
    </row>
    <row r="648" ht="14.25" customHeight="1">
      <c r="A648" s="1"/>
      <c r="F648" s="3"/>
      <c r="G648" s="1"/>
    </row>
    <row r="649" ht="14.25" customHeight="1">
      <c r="A649" s="1"/>
      <c r="F649" s="3"/>
      <c r="G649" s="1"/>
    </row>
    <row r="650" ht="14.25" customHeight="1">
      <c r="A650" s="1"/>
      <c r="F650" s="3"/>
      <c r="G650" s="1"/>
    </row>
    <row r="651" ht="14.25" customHeight="1">
      <c r="A651" s="1"/>
      <c r="F651" s="3"/>
      <c r="G651" s="1"/>
    </row>
    <row r="652" ht="14.25" customHeight="1">
      <c r="A652" s="1"/>
      <c r="F652" s="3"/>
      <c r="G652" s="1"/>
    </row>
    <row r="653" ht="14.25" customHeight="1">
      <c r="A653" s="1"/>
      <c r="F653" s="3"/>
      <c r="G653" s="1"/>
    </row>
    <row r="654" ht="14.25" customHeight="1">
      <c r="A654" s="1"/>
      <c r="F654" s="3"/>
      <c r="G654" s="1"/>
    </row>
    <row r="655" ht="14.25" customHeight="1">
      <c r="A655" s="1"/>
      <c r="F655" s="3"/>
      <c r="G655" s="1"/>
    </row>
    <row r="656" ht="14.25" customHeight="1">
      <c r="A656" s="1"/>
      <c r="F656" s="3"/>
      <c r="G656" s="1"/>
    </row>
    <row r="657" ht="14.25" customHeight="1">
      <c r="A657" s="1"/>
      <c r="F657" s="3"/>
      <c r="G657" s="1"/>
    </row>
    <row r="658" ht="14.25" customHeight="1">
      <c r="A658" s="1"/>
      <c r="F658" s="3"/>
      <c r="G658" s="1"/>
    </row>
    <row r="659" ht="14.25" customHeight="1">
      <c r="A659" s="1"/>
      <c r="F659" s="3"/>
      <c r="G659" s="1"/>
    </row>
    <row r="660" ht="14.25" customHeight="1">
      <c r="A660" s="1"/>
      <c r="F660" s="3"/>
      <c r="G660" s="1"/>
    </row>
    <row r="661" ht="14.25" customHeight="1">
      <c r="A661" s="1"/>
      <c r="F661" s="3"/>
      <c r="G661" s="1"/>
    </row>
    <row r="662" ht="14.25" customHeight="1">
      <c r="A662" s="1"/>
      <c r="F662" s="3"/>
      <c r="G662" s="1"/>
    </row>
    <row r="663" ht="14.25" customHeight="1">
      <c r="A663" s="1"/>
      <c r="F663" s="3"/>
      <c r="G663" s="1"/>
    </row>
    <row r="664" ht="14.25" customHeight="1">
      <c r="A664" s="1"/>
      <c r="F664" s="3"/>
      <c r="G664" s="1"/>
    </row>
    <row r="665" ht="14.25" customHeight="1">
      <c r="A665" s="1"/>
      <c r="F665" s="3"/>
      <c r="G665" s="1"/>
    </row>
    <row r="666" ht="14.25" customHeight="1">
      <c r="A666" s="1"/>
      <c r="F666" s="3"/>
      <c r="G666" s="1"/>
    </row>
    <row r="667" ht="14.25" customHeight="1">
      <c r="A667" s="1"/>
      <c r="F667" s="3"/>
      <c r="G667" s="1"/>
    </row>
    <row r="668" ht="14.25" customHeight="1">
      <c r="A668" s="1"/>
      <c r="F668" s="3"/>
      <c r="G668" s="1"/>
    </row>
    <row r="669" ht="14.25" customHeight="1">
      <c r="A669" s="1"/>
      <c r="F669" s="3"/>
      <c r="G669" s="1"/>
    </row>
    <row r="670" ht="14.25" customHeight="1">
      <c r="A670" s="1"/>
      <c r="F670" s="3"/>
      <c r="G670" s="1"/>
    </row>
    <row r="671" ht="14.25" customHeight="1">
      <c r="A671" s="1"/>
      <c r="F671" s="3"/>
      <c r="G671" s="1"/>
    </row>
    <row r="672" ht="14.25" customHeight="1">
      <c r="A672" s="1"/>
      <c r="F672" s="3"/>
      <c r="G672" s="1"/>
    </row>
    <row r="673" ht="14.25" customHeight="1">
      <c r="A673" s="1"/>
      <c r="F673" s="3"/>
      <c r="G673" s="1"/>
    </row>
    <row r="674" ht="14.25" customHeight="1">
      <c r="A674" s="1"/>
      <c r="F674" s="3"/>
      <c r="G674" s="1"/>
    </row>
    <row r="675" ht="14.25" customHeight="1">
      <c r="A675" s="1"/>
      <c r="F675" s="3"/>
      <c r="G675" s="1"/>
    </row>
    <row r="676" ht="14.25" customHeight="1">
      <c r="A676" s="1"/>
      <c r="F676" s="3"/>
      <c r="G676" s="1"/>
    </row>
    <row r="677" ht="14.25" customHeight="1">
      <c r="A677" s="1"/>
      <c r="F677" s="3"/>
      <c r="G677" s="1"/>
    </row>
    <row r="678" ht="14.25" customHeight="1">
      <c r="A678" s="1"/>
      <c r="F678" s="3"/>
      <c r="G678" s="1"/>
    </row>
    <row r="679" ht="14.25" customHeight="1">
      <c r="A679" s="1"/>
      <c r="F679" s="3"/>
      <c r="G679" s="1"/>
    </row>
    <row r="680" ht="14.25" customHeight="1">
      <c r="A680" s="1"/>
      <c r="F680" s="3"/>
      <c r="G680" s="1"/>
    </row>
    <row r="681" ht="14.25" customHeight="1">
      <c r="A681" s="1"/>
      <c r="F681" s="3"/>
      <c r="G681" s="1"/>
    </row>
    <row r="682" ht="14.25" customHeight="1">
      <c r="A682" s="1"/>
      <c r="F682" s="3"/>
      <c r="G682" s="1"/>
    </row>
    <row r="683" ht="14.25" customHeight="1">
      <c r="A683" s="1"/>
      <c r="F683" s="3"/>
      <c r="G683" s="1"/>
    </row>
    <row r="684" ht="14.25" customHeight="1">
      <c r="A684" s="1"/>
      <c r="F684" s="3"/>
      <c r="G684" s="1"/>
    </row>
    <row r="685" ht="14.25" customHeight="1">
      <c r="A685" s="1"/>
      <c r="F685" s="3"/>
      <c r="G685" s="1"/>
    </row>
    <row r="686" ht="14.25" customHeight="1">
      <c r="A686" s="1"/>
      <c r="F686" s="3"/>
      <c r="G686" s="1"/>
    </row>
    <row r="687" ht="14.25" customHeight="1">
      <c r="A687" s="1"/>
      <c r="F687" s="3"/>
      <c r="G687" s="1"/>
    </row>
    <row r="688" ht="14.25" customHeight="1">
      <c r="A688" s="1"/>
      <c r="F688" s="3"/>
      <c r="G688" s="1"/>
    </row>
    <row r="689" ht="14.25" customHeight="1">
      <c r="A689" s="1"/>
      <c r="F689" s="3"/>
      <c r="G689" s="1"/>
    </row>
    <row r="690" ht="14.25" customHeight="1">
      <c r="A690" s="1"/>
      <c r="F690" s="3"/>
      <c r="G690" s="1"/>
    </row>
    <row r="691" ht="14.25" customHeight="1">
      <c r="A691" s="1"/>
      <c r="F691" s="3"/>
      <c r="G691" s="1"/>
    </row>
    <row r="692" ht="14.25" customHeight="1">
      <c r="A692" s="1"/>
      <c r="F692" s="3"/>
      <c r="G692" s="1"/>
    </row>
    <row r="693" ht="14.25" customHeight="1">
      <c r="A693" s="1"/>
      <c r="F693" s="3"/>
      <c r="G693" s="1"/>
    </row>
    <row r="694" ht="14.25" customHeight="1">
      <c r="A694" s="1"/>
      <c r="F694" s="3"/>
      <c r="G694" s="1"/>
    </row>
    <row r="695" ht="14.25" customHeight="1">
      <c r="A695" s="1"/>
      <c r="F695" s="3"/>
      <c r="G695" s="1"/>
    </row>
    <row r="696" ht="14.25" customHeight="1">
      <c r="A696" s="1"/>
      <c r="F696" s="3"/>
      <c r="G696" s="1"/>
    </row>
    <row r="697" ht="14.25" customHeight="1">
      <c r="A697" s="1"/>
      <c r="F697" s="3"/>
      <c r="G697" s="1"/>
    </row>
    <row r="698" ht="14.25" customHeight="1">
      <c r="A698" s="1"/>
      <c r="F698" s="3"/>
      <c r="G698" s="1"/>
    </row>
    <row r="699" ht="14.25" customHeight="1">
      <c r="A699" s="1"/>
      <c r="F699" s="3"/>
      <c r="G699" s="1"/>
    </row>
    <row r="700" ht="14.25" customHeight="1">
      <c r="A700" s="1"/>
      <c r="F700" s="3"/>
      <c r="G700" s="1"/>
    </row>
    <row r="701" ht="14.25" customHeight="1">
      <c r="A701" s="1"/>
      <c r="F701" s="3"/>
      <c r="G701" s="1"/>
    </row>
    <row r="702" ht="14.25" customHeight="1">
      <c r="A702" s="1"/>
      <c r="F702" s="3"/>
      <c r="G702" s="1"/>
    </row>
    <row r="703" ht="14.25" customHeight="1">
      <c r="A703" s="1"/>
      <c r="F703" s="3"/>
      <c r="G703" s="1"/>
    </row>
    <row r="704" ht="14.25" customHeight="1">
      <c r="A704" s="1"/>
      <c r="F704" s="3"/>
      <c r="G704" s="1"/>
    </row>
    <row r="705" ht="14.25" customHeight="1">
      <c r="A705" s="1"/>
      <c r="F705" s="3"/>
      <c r="G705" s="1"/>
    </row>
    <row r="706" ht="14.25" customHeight="1">
      <c r="A706" s="1"/>
      <c r="F706" s="3"/>
      <c r="G706" s="1"/>
    </row>
    <row r="707" ht="14.25" customHeight="1">
      <c r="A707" s="1"/>
      <c r="F707" s="3"/>
      <c r="G707" s="1"/>
    </row>
    <row r="708" ht="14.25" customHeight="1">
      <c r="A708" s="1"/>
      <c r="F708" s="3"/>
      <c r="G708" s="1"/>
    </row>
    <row r="709" ht="14.25" customHeight="1">
      <c r="A709" s="1"/>
      <c r="F709" s="3"/>
      <c r="G709" s="1"/>
    </row>
    <row r="710" ht="14.25" customHeight="1">
      <c r="A710" s="1"/>
      <c r="F710" s="3"/>
      <c r="G710" s="1"/>
    </row>
    <row r="711" ht="14.25" customHeight="1">
      <c r="A711" s="1"/>
      <c r="F711" s="3"/>
      <c r="G711" s="1"/>
    </row>
    <row r="712" ht="14.25" customHeight="1">
      <c r="A712" s="1"/>
      <c r="F712" s="3"/>
      <c r="G712" s="1"/>
    </row>
    <row r="713" ht="14.25" customHeight="1">
      <c r="A713" s="1"/>
      <c r="F713" s="3"/>
      <c r="G713" s="1"/>
    </row>
    <row r="714" ht="14.25" customHeight="1">
      <c r="A714" s="1"/>
      <c r="F714" s="3"/>
      <c r="G714" s="1"/>
    </row>
    <row r="715" ht="14.25" customHeight="1">
      <c r="A715" s="1"/>
      <c r="F715" s="3"/>
      <c r="G715" s="1"/>
    </row>
    <row r="716" ht="14.25" customHeight="1">
      <c r="A716" s="1"/>
      <c r="F716" s="3"/>
      <c r="G716" s="1"/>
    </row>
    <row r="717" ht="14.25" customHeight="1">
      <c r="A717" s="1"/>
      <c r="F717" s="3"/>
      <c r="G717" s="1"/>
    </row>
    <row r="718" ht="14.25" customHeight="1">
      <c r="A718" s="1"/>
      <c r="F718" s="3"/>
      <c r="G718" s="1"/>
    </row>
    <row r="719" ht="14.25" customHeight="1">
      <c r="A719" s="1"/>
      <c r="F719" s="3"/>
      <c r="G719" s="1"/>
    </row>
    <row r="720" ht="14.25" customHeight="1">
      <c r="A720" s="1"/>
      <c r="F720" s="3"/>
      <c r="G720" s="1"/>
    </row>
    <row r="721" ht="14.25" customHeight="1">
      <c r="A721" s="1"/>
      <c r="F721" s="3"/>
      <c r="G721" s="1"/>
    </row>
    <row r="722" ht="14.25" customHeight="1">
      <c r="A722" s="1"/>
      <c r="F722" s="3"/>
      <c r="G722" s="1"/>
    </row>
    <row r="723" ht="14.25" customHeight="1">
      <c r="A723" s="1"/>
      <c r="F723" s="3"/>
      <c r="G723" s="1"/>
    </row>
    <row r="724" ht="14.25" customHeight="1">
      <c r="A724" s="1"/>
      <c r="F724" s="3"/>
      <c r="G724" s="1"/>
    </row>
    <row r="725" ht="14.25" customHeight="1">
      <c r="A725" s="1"/>
      <c r="F725" s="3"/>
      <c r="G725" s="1"/>
    </row>
    <row r="726" ht="14.25" customHeight="1">
      <c r="A726" s="1"/>
      <c r="F726" s="3"/>
      <c r="G726" s="1"/>
    </row>
    <row r="727" ht="14.25" customHeight="1">
      <c r="A727" s="1"/>
      <c r="F727" s="3"/>
      <c r="G727" s="1"/>
    </row>
    <row r="728" ht="14.25" customHeight="1">
      <c r="A728" s="1"/>
      <c r="F728" s="3"/>
      <c r="G728" s="1"/>
    </row>
    <row r="729" ht="14.25" customHeight="1">
      <c r="A729" s="1"/>
      <c r="F729" s="3"/>
      <c r="G729" s="1"/>
    </row>
    <row r="730" ht="14.25" customHeight="1">
      <c r="A730" s="1"/>
      <c r="F730" s="3"/>
      <c r="G730" s="1"/>
    </row>
    <row r="731" ht="14.25" customHeight="1">
      <c r="A731" s="1"/>
      <c r="F731" s="3"/>
      <c r="G731" s="1"/>
    </row>
    <row r="732" ht="14.25" customHeight="1">
      <c r="A732" s="1"/>
      <c r="F732" s="3"/>
      <c r="G732" s="1"/>
    </row>
    <row r="733" ht="14.25" customHeight="1">
      <c r="A733" s="1"/>
      <c r="F733" s="3"/>
      <c r="G733" s="1"/>
    </row>
    <row r="734" ht="14.25" customHeight="1">
      <c r="A734" s="1"/>
      <c r="F734" s="3"/>
      <c r="G734" s="1"/>
    </row>
    <row r="735" ht="14.25" customHeight="1">
      <c r="A735" s="1"/>
      <c r="F735" s="3"/>
      <c r="G735" s="1"/>
    </row>
    <row r="736" ht="14.25" customHeight="1">
      <c r="A736" s="1"/>
      <c r="F736" s="3"/>
      <c r="G736" s="1"/>
    </row>
    <row r="737" ht="14.25" customHeight="1">
      <c r="A737" s="1"/>
      <c r="F737" s="3"/>
      <c r="G737" s="1"/>
    </row>
    <row r="738" ht="14.25" customHeight="1">
      <c r="A738" s="1"/>
      <c r="F738" s="3"/>
      <c r="G738" s="1"/>
    </row>
    <row r="739" ht="14.25" customHeight="1">
      <c r="A739" s="1"/>
      <c r="F739" s="3"/>
      <c r="G739" s="1"/>
    </row>
    <row r="740" ht="14.25" customHeight="1">
      <c r="A740" s="1"/>
      <c r="F740" s="3"/>
      <c r="G740" s="1"/>
    </row>
    <row r="741" ht="14.25" customHeight="1">
      <c r="A741" s="1"/>
      <c r="F741" s="3"/>
      <c r="G741" s="1"/>
    </row>
    <row r="742" ht="14.25" customHeight="1">
      <c r="A742" s="1"/>
      <c r="F742" s="3"/>
      <c r="G742" s="1"/>
    </row>
    <row r="743" ht="14.25" customHeight="1">
      <c r="A743" s="1"/>
      <c r="F743" s="3"/>
      <c r="G743" s="1"/>
    </row>
    <row r="744" ht="14.25" customHeight="1">
      <c r="A744" s="1"/>
      <c r="F744" s="3"/>
      <c r="G744" s="1"/>
    </row>
    <row r="745" ht="14.25" customHeight="1">
      <c r="A745" s="1"/>
      <c r="F745" s="3"/>
      <c r="G745" s="1"/>
    </row>
    <row r="746" ht="14.25" customHeight="1">
      <c r="A746" s="1"/>
      <c r="F746" s="3"/>
      <c r="G746" s="1"/>
    </row>
    <row r="747" ht="14.25" customHeight="1">
      <c r="A747" s="1"/>
      <c r="F747" s="3"/>
      <c r="G747" s="1"/>
    </row>
    <row r="748" ht="14.25" customHeight="1">
      <c r="A748" s="1"/>
      <c r="F748" s="3"/>
      <c r="G748" s="1"/>
    </row>
    <row r="749" ht="14.25" customHeight="1">
      <c r="A749" s="1"/>
      <c r="F749" s="3"/>
      <c r="G749" s="1"/>
    </row>
    <row r="750" ht="14.25" customHeight="1">
      <c r="A750" s="1"/>
      <c r="F750" s="3"/>
      <c r="G750" s="1"/>
    </row>
    <row r="751" ht="14.25" customHeight="1">
      <c r="A751" s="1"/>
      <c r="F751" s="3"/>
      <c r="G751" s="1"/>
    </row>
    <row r="752" ht="14.25" customHeight="1">
      <c r="A752" s="1"/>
      <c r="F752" s="3"/>
      <c r="G752" s="1"/>
    </row>
    <row r="753" ht="14.25" customHeight="1">
      <c r="A753" s="1"/>
      <c r="F753" s="3"/>
      <c r="G753" s="1"/>
    </row>
    <row r="754" ht="14.25" customHeight="1">
      <c r="A754" s="1"/>
      <c r="F754" s="3"/>
      <c r="G754" s="1"/>
    </row>
    <row r="755" ht="14.25" customHeight="1">
      <c r="A755" s="1"/>
      <c r="F755" s="3"/>
      <c r="G755" s="1"/>
    </row>
    <row r="756" ht="14.25" customHeight="1">
      <c r="A756" s="1"/>
      <c r="F756" s="3"/>
      <c r="G756" s="1"/>
    </row>
    <row r="757" ht="14.25" customHeight="1">
      <c r="A757" s="1"/>
      <c r="F757" s="3"/>
      <c r="G757" s="1"/>
    </row>
    <row r="758" ht="14.25" customHeight="1">
      <c r="A758" s="1"/>
      <c r="F758" s="3"/>
      <c r="G758" s="1"/>
    </row>
    <row r="759" ht="14.25" customHeight="1">
      <c r="A759" s="1"/>
      <c r="F759" s="3"/>
      <c r="G759" s="1"/>
    </row>
    <row r="760" ht="14.25" customHeight="1">
      <c r="A760" s="1"/>
      <c r="F760" s="3"/>
      <c r="G760" s="1"/>
    </row>
    <row r="761" ht="14.25" customHeight="1">
      <c r="A761" s="1"/>
      <c r="F761" s="3"/>
      <c r="G761" s="1"/>
    </row>
    <row r="762" ht="14.25" customHeight="1">
      <c r="A762" s="1"/>
      <c r="F762" s="3"/>
      <c r="G762" s="1"/>
    </row>
    <row r="763" ht="14.25" customHeight="1">
      <c r="A763" s="1"/>
      <c r="F763" s="3"/>
      <c r="G763" s="1"/>
    </row>
    <row r="764" ht="14.25" customHeight="1">
      <c r="A764" s="1"/>
      <c r="F764" s="3"/>
      <c r="G764" s="1"/>
    </row>
    <row r="765" ht="14.25" customHeight="1">
      <c r="A765" s="1"/>
      <c r="F765" s="3"/>
      <c r="G765" s="1"/>
    </row>
    <row r="766" ht="14.25" customHeight="1">
      <c r="A766" s="1"/>
      <c r="F766" s="3"/>
      <c r="G766" s="1"/>
    </row>
    <row r="767" ht="14.25" customHeight="1">
      <c r="A767" s="1"/>
      <c r="F767" s="3"/>
      <c r="G767" s="1"/>
    </row>
    <row r="768" ht="14.25" customHeight="1">
      <c r="A768" s="1"/>
      <c r="F768" s="3"/>
      <c r="G768" s="1"/>
    </row>
    <row r="769" ht="14.25" customHeight="1">
      <c r="A769" s="1"/>
      <c r="F769" s="3"/>
      <c r="G769" s="1"/>
    </row>
    <row r="770" ht="14.25" customHeight="1">
      <c r="A770" s="1"/>
      <c r="F770" s="3"/>
      <c r="G770" s="1"/>
    </row>
    <row r="771" ht="14.25" customHeight="1">
      <c r="A771" s="1"/>
      <c r="F771" s="3"/>
      <c r="G771" s="1"/>
    </row>
    <row r="772" ht="14.25" customHeight="1">
      <c r="A772" s="1"/>
      <c r="F772" s="3"/>
      <c r="G772" s="1"/>
    </row>
    <row r="773" ht="14.25" customHeight="1">
      <c r="A773" s="1"/>
      <c r="F773" s="3"/>
      <c r="G773" s="1"/>
    </row>
    <row r="774" ht="14.25" customHeight="1">
      <c r="A774" s="1"/>
      <c r="F774" s="3"/>
      <c r="G774" s="1"/>
    </row>
    <row r="775" ht="14.25" customHeight="1">
      <c r="A775" s="1"/>
      <c r="F775" s="3"/>
      <c r="G775" s="1"/>
    </row>
    <row r="776" ht="14.25" customHeight="1">
      <c r="A776" s="1"/>
      <c r="F776" s="3"/>
      <c r="G776" s="1"/>
    </row>
    <row r="777" ht="14.25" customHeight="1">
      <c r="A777" s="1"/>
      <c r="F777" s="3"/>
      <c r="G777" s="1"/>
    </row>
    <row r="778" ht="14.25" customHeight="1">
      <c r="A778" s="1"/>
      <c r="F778" s="3"/>
      <c r="G778" s="1"/>
    </row>
    <row r="779" ht="14.25" customHeight="1">
      <c r="A779" s="1"/>
      <c r="F779" s="3"/>
      <c r="G779" s="1"/>
    </row>
    <row r="780" ht="14.25" customHeight="1">
      <c r="A780" s="1"/>
      <c r="F780" s="3"/>
      <c r="G780" s="1"/>
    </row>
    <row r="781" ht="14.25" customHeight="1">
      <c r="A781" s="1"/>
      <c r="F781" s="3"/>
      <c r="G781" s="1"/>
    </row>
    <row r="782" ht="14.25" customHeight="1">
      <c r="A782" s="1"/>
      <c r="F782" s="3"/>
      <c r="G782" s="1"/>
    </row>
    <row r="783" ht="14.25" customHeight="1">
      <c r="A783" s="1"/>
      <c r="F783" s="3"/>
      <c r="G783" s="1"/>
    </row>
    <row r="784" ht="14.25" customHeight="1">
      <c r="A784" s="1"/>
      <c r="F784" s="3"/>
      <c r="G784" s="1"/>
    </row>
    <row r="785" ht="14.25" customHeight="1">
      <c r="A785" s="1"/>
      <c r="F785" s="3"/>
      <c r="G785" s="1"/>
    </row>
    <row r="786" ht="14.25" customHeight="1">
      <c r="A786" s="1"/>
      <c r="F786" s="3"/>
      <c r="G786" s="1"/>
    </row>
    <row r="787" ht="14.25" customHeight="1">
      <c r="A787" s="1"/>
      <c r="F787" s="3"/>
      <c r="G787" s="1"/>
    </row>
    <row r="788" ht="14.25" customHeight="1">
      <c r="A788" s="1"/>
      <c r="F788" s="3"/>
      <c r="G788" s="1"/>
    </row>
    <row r="789" ht="14.25" customHeight="1">
      <c r="A789" s="1"/>
      <c r="F789" s="3"/>
      <c r="G789" s="1"/>
    </row>
    <row r="790" ht="14.25" customHeight="1">
      <c r="A790" s="1"/>
      <c r="F790" s="3"/>
      <c r="G790" s="1"/>
    </row>
    <row r="791" ht="14.25" customHeight="1">
      <c r="A791" s="1"/>
      <c r="F791" s="3"/>
      <c r="G791" s="1"/>
    </row>
    <row r="792" ht="14.25" customHeight="1">
      <c r="A792" s="1"/>
      <c r="F792" s="3"/>
      <c r="G792" s="1"/>
    </row>
    <row r="793" ht="14.25" customHeight="1">
      <c r="A793" s="1"/>
      <c r="F793" s="3"/>
      <c r="G793" s="1"/>
    </row>
    <row r="794" ht="14.25" customHeight="1">
      <c r="A794" s="1"/>
      <c r="F794" s="3"/>
      <c r="G794" s="1"/>
    </row>
    <row r="795" ht="14.25" customHeight="1">
      <c r="A795" s="1"/>
      <c r="F795" s="3"/>
      <c r="G795" s="1"/>
    </row>
    <row r="796" ht="14.25" customHeight="1">
      <c r="A796" s="1"/>
      <c r="F796" s="3"/>
      <c r="G796" s="1"/>
    </row>
    <row r="797" ht="14.25" customHeight="1">
      <c r="A797" s="1"/>
      <c r="F797" s="3"/>
      <c r="G797" s="1"/>
    </row>
    <row r="798" ht="14.25" customHeight="1">
      <c r="A798" s="1"/>
      <c r="F798" s="3"/>
      <c r="G798" s="1"/>
    </row>
    <row r="799" ht="14.25" customHeight="1">
      <c r="A799" s="1"/>
      <c r="F799" s="3"/>
      <c r="G799" s="1"/>
    </row>
    <row r="800" ht="14.25" customHeight="1">
      <c r="A800" s="1"/>
      <c r="F800" s="3"/>
      <c r="G800" s="1"/>
    </row>
    <row r="801" ht="14.25" customHeight="1">
      <c r="A801" s="1"/>
      <c r="F801" s="3"/>
      <c r="G801" s="1"/>
    </row>
    <row r="802" ht="14.25" customHeight="1">
      <c r="A802" s="1"/>
      <c r="F802" s="3"/>
      <c r="G802" s="1"/>
    </row>
    <row r="803" ht="14.25" customHeight="1">
      <c r="A803" s="1"/>
      <c r="F803" s="3"/>
      <c r="G803" s="1"/>
    </row>
    <row r="804" ht="14.25" customHeight="1">
      <c r="A804" s="1"/>
      <c r="F804" s="3"/>
      <c r="G804" s="1"/>
    </row>
    <row r="805" ht="14.25" customHeight="1">
      <c r="A805" s="1"/>
      <c r="F805" s="3"/>
      <c r="G805" s="1"/>
    </row>
    <row r="806" ht="14.25" customHeight="1">
      <c r="A806" s="1"/>
      <c r="F806" s="3"/>
      <c r="G806" s="1"/>
    </row>
    <row r="807" ht="14.25" customHeight="1">
      <c r="A807" s="1"/>
      <c r="F807" s="3"/>
      <c r="G807" s="1"/>
    </row>
    <row r="808" ht="14.25" customHeight="1">
      <c r="A808" s="1"/>
      <c r="F808" s="3"/>
      <c r="G808" s="1"/>
    </row>
    <row r="809" ht="14.25" customHeight="1">
      <c r="A809" s="1"/>
      <c r="F809" s="3"/>
      <c r="G809" s="1"/>
    </row>
    <row r="810" ht="14.25" customHeight="1">
      <c r="A810" s="1"/>
      <c r="F810" s="3"/>
      <c r="G810" s="1"/>
    </row>
    <row r="811" ht="14.25" customHeight="1">
      <c r="A811" s="1"/>
      <c r="F811" s="3"/>
      <c r="G811" s="1"/>
    </row>
    <row r="812" ht="14.25" customHeight="1">
      <c r="A812" s="1"/>
      <c r="F812" s="3"/>
      <c r="G812" s="1"/>
    </row>
    <row r="813" ht="14.25" customHeight="1">
      <c r="A813" s="1"/>
      <c r="F813" s="3"/>
      <c r="G813" s="1"/>
    </row>
    <row r="814" ht="14.25" customHeight="1">
      <c r="A814" s="1"/>
      <c r="F814" s="3"/>
      <c r="G814" s="1"/>
    </row>
    <row r="815" ht="14.25" customHeight="1">
      <c r="A815" s="1"/>
      <c r="F815" s="3"/>
      <c r="G815" s="1"/>
    </row>
    <row r="816" ht="14.25" customHeight="1">
      <c r="A816" s="1"/>
      <c r="F816" s="3"/>
      <c r="G816" s="1"/>
    </row>
    <row r="817" ht="14.25" customHeight="1">
      <c r="A817" s="1"/>
      <c r="F817" s="3"/>
      <c r="G817" s="1"/>
    </row>
    <row r="818" ht="14.25" customHeight="1">
      <c r="A818" s="1"/>
      <c r="F818" s="3"/>
      <c r="G818" s="1"/>
    </row>
    <row r="819" ht="14.25" customHeight="1">
      <c r="A819" s="1"/>
      <c r="F819" s="3"/>
      <c r="G819" s="1"/>
    </row>
    <row r="820" ht="14.25" customHeight="1">
      <c r="A820" s="1"/>
      <c r="F820" s="3"/>
      <c r="G820" s="1"/>
    </row>
    <row r="821" ht="14.25" customHeight="1">
      <c r="A821" s="1"/>
      <c r="F821" s="3"/>
      <c r="G821" s="1"/>
    </row>
    <row r="822" ht="14.25" customHeight="1">
      <c r="A822" s="1"/>
      <c r="F822" s="3"/>
      <c r="G822" s="1"/>
    </row>
    <row r="823" ht="14.25" customHeight="1">
      <c r="A823" s="1"/>
      <c r="F823" s="3"/>
      <c r="G823" s="1"/>
    </row>
    <row r="824" ht="14.25" customHeight="1">
      <c r="A824" s="1"/>
      <c r="F824" s="3"/>
      <c r="G824" s="1"/>
    </row>
    <row r="825" ht="14.25" customHeight="1">
      <c r="A825" s="1"/>
      <c r="F825" s="3"/>
      <c r="G825" s="1"/>
    </row>
    <row r="826" ht="14.25" customHeight="1">
      <c r="A826" s="1"/>
      <c r="F826" s="3"/>
      <c r="G826" s="1"/>
    </row>
    <row r="827" ht="14.25" customHeight="1">
      <c r="A827" s="1"/>
      <c r="F827" s="3"/>
      <c r="G827" s="1"/>
    </row>
    <row r="828" ht="14.25" customHeight="1">
      <c r="A828" s="1"/>
      <c r="F828" s="3"/>
      <c r="G828" s="1"/>
    </row>
    <row r="829" ht="14.25" customHeight="1">
      <c r="A829" s="1"/>
      <c r="F829" s="3"/>
      <c r="G829" s="1"/>
    </row>
    <row r="830" ht="14.25" customHeight="1">
      <c r="A830" s="1"/>
      <c r="F830" s="3"/>
      <c r="G830" s="1"/>
    </row>
    <row r="831" ht="14.25" customHeight="1">
      <c r="A831" s="1"/>
      <c r="F831" s="3"/>
      <c r="G831" s="1"/>
    </row>
    <row r="832" ht="14.25" customHeight="1">
      <c r="A832" s="1"/>
      <c r="F832" s="3"/>
      <c r="G832" s="1"/>
    </row>
    <row r="833" ht="14.25" customHeight="1">
      <c r="A833" s="1"/>
      <c r="F833" s="3"/>
      <c r="G833" s="1"/>
    </row>
    <row r="834" ht="14.25" customHeight="1">
      <c r="A834" s="1"/>
      <c r="F834" s="3"/>
      <c r="G834" s="1"/>
    </row>
    <row r="835" ht="14.25" customHeight="1">
      <c r="A835" s="1"/>
      <c r="F835" s="3"/>
      <c r="G835" s="1"/>
    </row>
    <row r="836" ht="14.25" customHeight="1">
      <c r="A836" s="1"/>
      <c r="F836" s="3"/>
      <c r="G836" s="1"/>
    </row>
    <row r="837" ht="14.25" customHeight="1">
      <c r="A837" s="1"/>
      <c r="F837" s="3"/>
      <c r="G837" s="1"/>
    </row>
    <row r="838" ht="14.25" customHeight="1">
      <c r="A838" s="1"/>
      <c r="F838" s="3"/>
      <c r="G838" s="1"/>
    </row>
    <row r="839" ht="14.25" customHeight="1">
      <c r="A839" s="1"/>
      <c r="F839" s="3"/>
      <c r="G839" s="1"/>
    </row>
    <row r="840" ht="14.25" customHeight="1">
      <c r="A840" s="1"/>
      <c r="F840" s="3"/>
      <c r="G840" s="1"/>
    </row>
    <row r="841" ht="14.25" customHeight="1">
      <c r="A841" s="1"/>
      <c r="F841" s="3"/>
      <c r="G841" s="1"/>
    </row>
    <row r="842" ht="14.25" customHeight="1">
      <c r="A842" s="1"/>
      <c r="F842" s="3"/>
      <c r="G842" s="1"/>
    </row>
    <row r="843" ht="14.25" customHeight="1">
      <c r="A843" s="1"/>
      <c r="F843" s="3"/>
      <c r="G843" s="1"/>
    </row>
    <row r="844" ht="14.25" customHeight="1">
      <c r="A844" s="1"/>
      <c r="F844" s="3"/>
      <c r="G844" s="1"/>
    </row>
    <row r="845" ht="14.25" customHeight="1">
      <c r="A845" s="1"/>
      <c r="F845" s="3"/>
      <c r="G845" s="1"/>
    </row>
    <row r="846" ht="14.25" customHeight="1">
      <c r="A846" s="1"/>
      <c r="F846" s="3"/>
      <c r="G846" s="1"/>
    </row>
    <row r="847" ht="14.25" customHeight="1">
      <c r="A847" s="1"/>
      <c r="F847" s="3"/>
      <c r="G847" s="1"/>
    </row>
    <row r="848" ht="14.25" customHeight="1">
      <c r="A848" s="1"/>
      <c r="F848" s="3"/>
      <c r="G848" s="1"/>
    </row>
    <row r="849" ht="14.25" customHeight="1">
      <c r="A849" s="1"/>
      <c r="F849" s="3"/>
      <c r="G849" s="1"/>
    </row>
    <row r="850" ht="14.25" customHeight="1">
      <c r="A850" s="1"/>
      <c r="F850" s="3"/>
      <c r="G850" s="1"/>
    </row>
    <row r="851" ht="14.25" customHeight="1">
      <c r="A851" s="1"/>
      <c r="F851" s="3"/>
      <c r="G851" s="1"/>
    </row>
    <row r="852" ht="14.25" customHeight="1">
      <c r="A852" s="1"/>
      <c r="F852" s="3"/>
      <c r="G852" s="1"/>
    </row>
    <row r="853" ht="14.25" customHeight="1">
      <c r="A853" s="1"/>
      <c r="F853" s="3"/>
      <c r="G853" s="1"/>
    </row>
    <row r="854" ht="14.25" customHeight="1">
      <c r="A854" s="1"/>
      <c r="F854" s="3"/>
      <c r="G854" s="1"/>
    </row>
    <row r="855" ht="14.25" customHeight="1">
      <c r="A855" s="1"/>
      <c r="F855" s="3"/>
      <c r="G855" s="1"/>
    </row>
    <row r="856" ht="14.25" customHeight="1">
      <c r="A856" s="1"/>
      <c r="F856" s="3"/>
      <c r="G856" s="1"/>
    </row>
    <row r="857" ht="14.25" customHeight="1">
      <c r="A857" s="1"/>
      <c r="F857" s="3"/>
      <c r="G857" s="1"/>
    </row>
    <row r="858" ht="14.25" customHeight="1">
      <c r="A858" s="1"/>
      <c r="F858" s="3"/>
      <c r="G858" s="1"/>
    </row>
    <row r="859" ht="14.25" customHeight="1">
      <c r="A859" s="1"/>
      <c r="F859" s="3"/>
      <c r="G859" s="1"/>
    </row>
    <row r="860" ht="14.25" customHeight="1">
      <c r="A860" s="1"/>
      <c r="F860" s="3"/>
      <c r="G860" s="1"/>
    </row>
    <row r="861" ht="14.25" customHeight="1">
      <c r="A861" s="1"/>
      <c r="F861" s="3"/>
      <c r="G861" s="1"/>
    </row>
    <row r="862" ht="14.25" customHeight="1">
      <c r="A862" s="1"/>
      <c r="F862" s="3"/>
      <c r="G862" s="1"/>
    </row>
    <row r="863" ht="14.25" customHeight="1">
      <c r="A863" s="1"/>
      <c r="F863" s="3"/>
      <c r="G863" s="1"/>
    </row>
    <row r="864" ht="14.25" customHeight="1">
      <c r="A864" s="1"/>
      <c r="F864" s="3"/>
      <c r="G864" s="1"/>
    </row>
    <row r="865" ht="14.25" customHeight="1">
      <c r="A865" s="1"/>
      <c r="F865" s="3"/>
      <c r="G865" s="1"/>
    </row>
    <row r="866" ht="14.25" customHeight="1">
      <c r="A866" s="1"/>
      <c r="F866" s="3"/>
      <c r="G866" s="1"/>
    </row>
    <row r="867" ht="14.25" customHeight="1">
      <c r="A867" s="1"/>
      <c r="F867" s="3"/>
      <c r="G867" s="1"/>
    </row>
    <row r="868" ht="14.25" customHeight="1">
      <c r="A868" s="1"/>
      <c r="F868" s="3"/>
      <c r="G868" s="1"/>
    </row>
    <row r="869" ht="14.25" customHeight="1">
      <c r="A869" s="1"/>
      <c r="F869" s="3"/>
      <c r="G869" s="1"/>
    </row>
    <row r="870" ht="14.25" customHeight="1">
      <c r="A870" s="1"/>
      <c r="F870" s="3"/>
      <c r="G870" s="1"/>
    </row>
    <row r="871" ht="14.25" customHeight="1">
      <c r="A871" s="1"/>
      <c r="F871" s="3"/>
      <c r="G871" s="1"/>
    </row>
    <row r="872" ht="14.25" customHeight="1">
      <c r="A872" s="1"/>
      <c r="F872" s="3"/>
      <c r="G872" s="1"/>
    </row>
    <row r="873" ht="14.25" customHeight="1">
      <c r="A873" s="1"/>
      <c r="F873" s="3"/>
      <c r="G873" s="1"/>
    </row>
    <row r="874" ht="14.25" customHeight="1">
      <c r="A874" s="1"/>
      <c r="F874" s="3"/>
      <c r="G874" s="1"/>
    </row>
    <row r="875" ht="14.25" customHeight="1">
      <c r="A875" s="1"/>
      <c r="F875" s="3"/>
      <c r="G875" s="1"/>
    </row>
    <row r="876" ht="14.25" customHeight="1">
      <c r="A876" s="1"/>
      <c r="F876" s="3"/>
      <c r="G876" s="1"/>
    </row>
    <row r="877" ht="14.25" customHeight="1">
      <c r="A877" s="1"/>
      <c r="F877" s="3"/>
      <c r="G877" s="1"/>
    </row>
    <row r="878" ht="14.25" customHeight="1">
      <c r="A878" s="1"/>
      <c r="F878" s="3"/>
      <c r="G878" s="1"/>
    </row>
    <row r="879" ht="14.25" customHeight="1">
      <c r="A879" s="1"/>
      <c r="F879" s="3"/>
      <c r="G879" s="1"/>
    </row>
    <row r="880" ht="14.25" customHeight="1">
      <c r="A880" s="1"/>
      <c r="F880" s="3"/>
      <c r="G880" s="1"/>
    </row>
    <row r="881" ht="14.25" customHeight="1">
      <c r="A881" s="1"/>
      <c r="F881" s="3"/>
      <c r="G881" s="1"/>
    </row>
    <row r="882" ht="14.25" customHeight="1">
      <c r="A882" s="1"/>
      <c r="F882" s="3"/>
      <c r="G882" s="1"/>
    </row>
    <row r="883" ht="14.25" customHeight="1">
      <c r="A883" s="1"/>
      <c r="F883" s="3"/>
      <c r="G883" s="1"/>
    </row>
    <row r="884" ht="14.25" customHeight="1">
      <c r="A884" s="1"/>
      <c r="F884" s="3"/>
      <c r="G884" s="1"/>
    </row>
    <row r="885" ht="14.25" customHeight="1">
      <c r="A885" s="1"/>
      <c r="F885" s="3"/>
      <c r="G885" s="1"/>
    </row>
    <row r="886" ht="14.25" customHeight="1">
      <c r="A886" s="1"/>
      <c r="F886" s="3"/>
      <c r="G886" s="1"/>
    </row>
    <row r="887" ht="14.25" customHeight="1">
      <c r="A887" s="1"/>
      <c r="F887" s="3"/>
      <c r="G887" s="1"/>
    </row>
    <row r="888" ht="14.25" customHeight="1">
      <c r="A888" s="1"/>
      <c r="F888" s="3"/>
      <c r="G888" s="1"/>
    </row>
    <row r="889" ht="14.25" customHeight="1">
      <c r="A889" s="1"/>
      <c r="F889" s="3"/>
      <c r="G889" s="1"/>
    </row>
    <row r="890" ht="14.25" customHeight="1">
      <c r="A890" s="1"/>
      <c r="F890" s="3"/>
      <c r="G890" s="1"/>
    </row>
    <row r="891" ht="14.25" customHeight="1">
      <c r="A891" s="1"/>
      <c r="F891" s="3"/>
      <c r="G891" s="1"/>
    </row>
    <row r="892" ht="14.25" customHeight="1">
      <c r="A892" s="1"/>
      <c r="F892" s="3"/>
      <c r="G892" s="1"/>
    </row>
    <row r="893" ht="14.25" customHeight="1">
      <c r="A893" s="1"/>
      <c r="F893" s="3"/>
      <c r="G893" s="1"/>
    </row>
    <row r="894" ht="14.25" customHeight="1">
      <c r="A894" s="1"/>
      <c r="F894" s="3"/>
      <c r="G894" s="1"/>
    </row>
    <row r="895" ht="14.25" customHeight="1">
      <c r="A895" s="1"/>
      <c r="F895" s="3"/>
      <c r="G895" s="1"/>
    </row>
    <row r="896" ht="14.25" customHeight="1">
      <c r="A896" s="1"/>
      <c r="F896" s="3"/>
      <c r="G896" s="1"/>
    </row>
    <row r="897" ht="14.25" customHeight="1">
      <c r="A897" s="1"/>
      <c r="F897" s="3"/>
      <c r="G897" s="1"/>
    </row>
    <row r="898" ht="14.25" customHeight="1">
      <c r="A898" s="1"/>
      <c r="F898" s="3"/>
      <c r="G898" s="1"/>
    </row>
    <row r="899" ht="14.25" customHeight="1">
      <c r="A899" s="1"/>
      <c r="F899" s="3"/>
      <c r="G899" s="1"/>
    </row>
    <row r="900" ht="14.25" customHeight="1">
      <c r="A900" s="1"/>
      <c r="F900" s="3"/>
      <c r="G900" s="1"/>
    </row>
    <row r="901" ht="14.25" customHeight="1">
      <c r="A901" s="1"/>
      <c r="F901" s="3"/>
      <c r="G901" s="1"/>
    </row>
    <row r="902" ht="14.25" customHeight="1">
      <c r="A902" s="1"/>
      <c r="F902" s="3"/>
      <c r="G902" s="1"/>
    </row>
    <row r="903" ht="14.25" customHeight="1">
      <c r="A903" s="1"/>
      <c r="F903" s="3"/>
      <c r="G903" s="1"/>
    </row>
    <row r="904" ht="14.25" customHeight="1">
      <c r="A904" s="1"/>
      <c r="F904" s="3"/>
      <c r="G904" s="1"/>
    </row>
    <row r="905" ht="14.25" customHeight="1">
      <c r="A905" s="1"/>
      <c r="F905" s="3"/>
      <c r="G905" s="1"/>
    </row>
    <row r="906" ht="14.25" customHeight="1">
      <c r="A906" s="1"/>
      <c r="F906" s="3"/>
      <c r="G906" s="1"/>
    </row>
    <row r="907" ht="14.25" customHeight="1">
      <c r="A907" s="1"/>
      <c r="F907" s="3"/>
      <c r="G907" s="1"/>
    </row>
    <row r="908" ht="14.25" customHeight="1">
      <c r="A908" s="1"/>
      <c r="F908" s="3"/>
      <c r="G908" s="1"/>
    </row>
    <row r="909" ht="14.25" customHeight="1">
      <c r="A909" s="1"/>
      <c r="F909" s="3"/>
      <c r="G909" s="1"/>
    </row>
    <row r="910" ht="14.25" customHeight="1">
      <c r="A910" s="1"/>
      <c r="F910" s="3"/>
      <c r="G910" s="1"/>
    </row>
    <row r="911" ht="14.25" customHeight="1">
      <c r="A911" s="1"/>
      <c r="F911" s="3"/>
      <c r="G911" s="1"/>
    </row>
    <row r="912" ht="14.25" customHeight="1">
      <c r="A912" s="1"/>
      <c r="F912" s="3"/>
      <c r="G912" s="1"/>
    </row>
    <row r="913" ht="14.25" customHeight="1">
      <c r="A913" s="1"/>
      <c r="F913" s="3"/>
      <c r="G913" s="1"/>
    </row>
    <row r="914" ht="14.25" customHeight="1">
      <c r="A914" s="1"/>
      <c r="F914" s="3"/>
      <c r="G914" s="1"/>
    </row>
    <row r="915" ht="14.25" customHeight="1">
      <c r="A915" s="1"/>
      <c r="F915" s="3"/>
      <c r="G915" s="1"/>
    </row>
    <row r="916" ht="14.25" customHeight="1">
      <c r="A916" s="1"/>
      <c r="F916" s="3"/>
      <c r="G916" s="1"/>
    </row>
    <row r="917" ht="14.25" customHeight="1">
      <c r="A917" s="1"/>
      <c r="F917" s="3"/>
      <c r="G917" s="1"/>
    </row>
    <row r="918" ht="14.25" customHeight="1">
      <c r="A918" s="1"/>
      <c r="F918" s="3"/>
      <c r="G918" s="1"/>
    </row>
    <row r="919" ht="14.25" customHeight="1">
      <c r="A919" s="1"/>
      <c r="F919" s="3"/>
      <c r="G919" s="1"/>
    </row>
    <row r="920" ht="14.25" customHeight="1">
      <c r="A920" s="1"/>
      <c r="F920" s="3"/>
      <c r="G920" s="1"/>
    </row>
    <row r="921" ht="14.25" customHeight="1">
      <c r="A921" s="1"/>
      <c r="F921" s="3"/>
      <c r="G921" s="1"/>
    </row>
    <row r="922" ht="14.25" customHeight="1">
      <c r="A922" s="1"/>
      <c r="F922" s="3"/>
      <c r="G922" s="1"/>
    </row>
    <row r="923" ht="14.25" customHeight="1">
      <c r="A923" s="1"/>
      <c r="F923" s="3"/>
      <c r="G923" s="1"/>
    </row>
    <row r="924" ht="14.25" customHeight="1">
      <c r="A924" s="1"/>
      <c r="F924" s="3"/>
      <c r="G924" s="1"/>
    </row>
    <row r="925" ht="14.25" customHeight="1">
      <c r="A925" s="1"/>
      <c r="F925" s="3"/>
      <c r="G925" s="1"/>
    </row>
    <row r="926" ht="14.25" customHeight="1">
      <c r="A926" s="1"/>
      <c r="F926" s="3"/>
      <c r="G926" s="1"/>
    </row>
    <row r="927" ht="14.25" customHeight="1">
      <c r="A927" s="1"/>
      <c r="F927" s="3"/>
      <c r="G927" s="1"/>
    </row>
    <row r="928" ht="14.25" customHeight="1">
      <c r="A928" s="1"/>
      <c r="F928" s="3"/>
      <c r="G928" s="1"/>
    </row>
    <row r="929" ht="14.25" customHeight="1">
      <c r="A929" s="1"/>
      <c r="F929" s="3"/>
      <c r="G929" s="1"/>
    </row>
    <row r="930" ht="14.25" customHeight="1">
      <c r="A930" s="1"/>
      <c r="F930" s="3"/>
      <c r="G930" s="1"/>
    </row>
    <row r="931" ht="14.25" customHeight="1">
      <c r="A931" s="1"/>
      <c r="F931" s="3"/>
      <c r="G931" s="1"/>
    </row>
    <row r="932" ht="14.25" customHeight="1">
      <c r="A932" s="1"/>
      <c r="F932" s="3"/>
      <c r="G932" s="1"/>
    </row>
    <row r="933" ht="14.25" customHeight="1">
      <c r="A933" s="1"/>
      <c r="F933" s="3"/>
      <c r="G933" s="1"/>
    </row>
    <row r="934" ht="14.25" customHeight="1">
      <c r="A934" s="1"/>
      <c r="F934" s="3"/>
      <c r="G934" s="1"/>
    </row>
    <row r="935" ht="14.25" customHeight="1">
      <c r="A935" s="1"/>
      <c r="F935" s="3"/>
      <c r="G935" s="1"/>
    </row>
    <row r="936" ht="14.25" customHeight="1">
      <c r="A936" s="1"/>
      <c r="F936" s="3"/>
      <c r="G936" s="1"/>
    </row>
    <row r="937" ht="14.25" customHeight="1">
      <c r="A937" s="1"/>
      <c r="F937" s="3"/>
      <c r="G937" s="1"/>
    </row>
    <row r="938" ht="14.25" customHeight="1">
      <c r="A938" s="1"/>
      <c r="F938" s="3"/>
      <c r="G938" s="1"/>
    </row>
    <row r="939" ht="14.25" customHeight="1">
      <c r="A939" s="1"/>
      <c r="F939" s="3"/>
      <c r="G939" s="1"/>
    </row>
    <row r="940" ht="14.25" customHeight="1">
      <c r="A940" s="1"/>
      <c r="F940" s="3"/>
      <c r="G940" s="1"/>
    </row>
    <row r="941" ht="14.25" customHeight="1">
      <c r="A941" s="1"/>
      <c r="F941" s="3"/>
      <c r="G941" s="1"/>
    </row>
    <row r="942" ht="14.25" customHeight="1">
      <c r="A942" s="1"/>
      <c r="F942" s="3"/>
      <c r="G942" s="1"/>
    </row>
    <row r="943" ht="14.25" customHeight="1">
      <c r="A943" s="1"/>
      <c r="F943" s="3"/>
      <c r="G943" s="1"/>
    </row>
    <row r="944" ht="14.25" customHeight="1">
      <c r="A944" s="1"/>
      <c r="F944" s="3"/>
      <c r="G944" s="1"/>
    </row>
    <row r="945" ht="14.25" customHeight="1">
      <c r="A945" s="1"/>
      <c r="F945" s="3"/>
      <c r="G945" s="1"/>
    </row>
    <row r="946" ht="14.25" customHeight="1">
      <c r="A946" s="1"/>
      <c r="F946" s="3"/>
      <c r="G946" s="1"/>
    </row>
    <row r="947" ht="14.25" customHeight="1">
      <c r="A947" s="1"/>
      <c r="F947" s="3"/>
      <c r="G947" s="1"/>
    </row>
    <row r="948" ht="14.25" customHeight="1">
      <c r="A948" s="1"/>
      <c r="F948" s="3"/>
      <c r="G948" s="1"/>
    </row>
    <row r="949" ht="14.25" customHeight="1">
      <c r="A949" s="1"/>
      <c r="F949" s="3"/>
      <c r="G949" s="1"/>
    </row>
    <row r="950" ht="14.25" customHeight="1">
      <c r="A950" s="1"/>
      <c r="F950" s="3"/>
      <c r="G950" s="1"/>
    </row>
    <row r="951" ht="14.25" customHeight="1">
      <c r="A951" s="1"/>
      <c r="F951" s="3"/>
      <c r="G951" s="1"/>
    </row>
    <row r="952" ht="14.25" customHeight="1">
      <c r="A952" s="1"/>
      <c r="F952" s="3"/>
      <c r="G952" s="1"/>
    </row>
    <row r="953" ht="14.25" customHeight="1">
      <c r="A953" s="1"/>
      <c r="F953" s="3"/>
      <c r="G953" s="1"/>
    </row>
    <row r="954" ht="14.25" customHeight="1">
      <c r="A954" s="1"/>
      <c r="F954" s="3"/>
      <c r="G954" s="1"/>
    </row>
    <row r="955" ht="14.25" customHeight="1">
      <c r="A955" s="1"/>
      <c r="F955" s="3"/>
      <c r="G955" s="1"/>
    </row>
    <row r="956" ht="14.25" customHeight="1">
      <c r="A956" s="1"/>
      <c r="F956" s="3"/>
      <c r="G956" s="1"/>
    </row>
    <row r="957" ht="14.25" customHeight="1">
      <c r="A957" s="1"/>
      <c r="F957" s="3"/>
      <c r="G957" s="1"/>
    </row>
    <row r="958" ht="14.25" customHeight="1">
      <c r="A958" s="1"/>
      <c r="F958" s="3"/>
      <c r="G958" s="1"/>
    </row>
    <row r="959" ht="14.25" customHeight="1">
      <c r="A959" s="1"/>
      <c r="F959" s="3"/>
      <c r="G959" s="1"/>
    </row>
    <row r="960" ht="14.25" customHeight="1">
      <c r="A960" s="1"/>
      <c r="F960" s="3"/>
      <c r="G960" s="1"/>
    </row>
    <row r="961" ht="14.25" customHeight="1">
      <c r="A961" s="1"/>
      <c r="F961" s="3"/>
      <c r="G961" s="1"/>
    </row>
    <row r="962" ht="14.25" customHeight="1">
      <c r="A962" s="1"/>
      <c r="F962" s="3"/>
      <c r="G962" s="1"/>
    </row>
    <row r="963" ht="14.25" customHeight="1">
      <c r="A963" s="1"/>
      <c r="F963" s="3"/>
      <c r="G963" s="1"/>
    </row>
    <row r="964" ht="14.25" customHeight="1">
      <c r="A964" s="1"/>
      <c r="F964" s="3"/>
      <c r="G964" s="1"/>
    </row>
    <row r="965" ht="14.25" customHeight="1">
      <c r="A965" s="1"/>
      <c r="F965" s="3"/>
      <c r="G965" s="1"/>
    </row>
    <row r="966" ht="14.25" customHeight="1">
      <c r="A966" s="1"/>
      <c r="F966" s="3"/>
      <c r="G966" s="1"/>
    </row>
    <row r="967" ht="14.25" customHeight="1">
      <c r="A967" s="1"/>
      <c r="F967" s="3"/>
      <c r="G967" s="1"/>
    </row>
    <row r="968" ht="14.25" customHeight="1">
      <c r="A968" s="1"/>
      <c r="F968" s="3"/>
      <c r="G968" s="1"/>
    </row>
    <row r="969" ht="14.25" customHeight="1">
      <c r="A969" s="1"/>
      <c r="F969" s="3"/>
      <c r="G969" s="1"/>
    </row>
    <row r="970" ht="14.25" customHeight="1">
      <c r="A970" s="1"/>
      <c r="F970" s="3"/>
      <c r="G970" s="1"/>
    </row>
    <row r="971" ht="14.25" customHeight="1">
      <c r="A971" s="1"/>
      <c r="F971" s="3"/>
      <c r="G971" s="1"/>
    </row>
    <row r="972" ht="14.25" customHeight="1">
      <c r="A972" s="1"/>
      <c r="F972" s="3"/>
      <c r="G972" s="1"/>
    </row>
    <row r="973" ht="14.25" customHeight="1">
      <c r="A973" s="1"/>
      <c r="F973" s="3"/>
      <c r="G973" s="1"/>
    </row>
    <row r="974" ht="14.25" customHeight="1">
      <c r="A974" s="1"/>
      <c r="F974" s="3"/>
      <c r="G974" s="1"/>
    </row>
    <row r="975" ht="14.25" customHeight="1">
      <c r="A975" s="1"/>
      <c r="F975" s="3"/>
      <c r="G975" s="1"/>
    </row>
    <row r="976" ht="14.25" customHeight="1">
      <c r="A976" s="1"/>
      <c r="F976" s="3"/>
      <c r="G976" s="1"/>
    </row>
    <row r="977" ht="14.25" customHeight="1">
      <c r="A977" s="1"/>
      <c r="F977" s="3"/>
      <c r="G977" s="1"/>
    </row>
    <row r="978" ht="14.25" customHeight="1">
      <c r="A978" s="1"/>
      <c r="F978" s="3"/>
      <c r="G978" s="1"/>
    </row>
    <row r="979" ht="14.25" customHeight="1">
      <c r="A979" s="1"/>
      <c r="F979" s="3"/>
      <c r="G979" s="1"/>
    </row>
    <row r="980" ht="14.25" customHeight="1">
      <c r="A980" s="1"/>
      <c r="F980" s="3"/>
      <c r="G980" s="1"/>
    </row>
    <row r="981" ht="14.25" customHeight="1">
      <c r="A981" s="1"/>
      <c r="F981" s="3"/>
      <c r="G981" s="1"/>
    </row>
    <row r="982" ht="14.25" customHeight="1">
      <c r="A982" s="1"/>
      <c r="F982" s="3"/>
      <c r="G982" s="1"/>
    </row>
    <row r="983" ht="14.25" customHeight="1">
      <c r="A983" s="1"/>
      <c r="F983" s="3"/>
      <c r="G983" s="1"/>
    </row>
    <row r="984" ht="14.25" customHeight="1">
      <c r="A984" s="1"/>
      <c r="F984" s="3"/>
      <c r="G984" s="1"/>
    </row>
    <row r="985" ht="14.25" customHeight="1">
      <c r="A985" s="1"/>
      <c r="F985" s="3"/>
      <c r="G985" s="1"/>
    </row>
    <row r="986" ht="14.25" customHeight="1">
      <c r="A986" s="1"/>
      <c r="F986" s="3"/>
      <c r="G986" s="1"/>
    </row>
    <row r="987" ht="14.25" customHeight="1">
      <c r="A987" s="1"/>
      <c r="F987" s="3"/>
      <c r="G987" s="1"/>
    </row>
    <row r="988" ht="14.25" customHeight="1">
      <c r="A988" s="1"/>
      <c r="F988" s="3"/>
      <c r="G988" s="1"/>
    </row>
    <row r="989" ht="14.25" customHeight="1">
      <c r="A989" s="1"/>
      <c r="F989" s="3"/>
      <c r="G989" s="1"/>
    </row>
    <row r="990" ht="14.25" customHeight="1">
      <c r="A990" s="1"/>
      <c r="F990" s="3"/>
      <c r="G990" s="1"/>
    </row>
    <row r="991" ht="14.25" customHeight="1">
      <c r="A991" s="1"/>
      <c r="F991" s="3"/>
      <c r="G991" s="1"/>
    </row>
    <row r="992" ht="14.25" customHeight="1">
      <c r="A992" s="1"/>
      <c r="F992" s="3"/>
      <c r="G992" s="1"/>
    </row>
    <row r="993" ht="14.25" customHeight="1">
      <c r="A993" s="1"/>
      <c r="F993" s="3"/>
      <c r="G993" s="1"/>
    </row>
    <row r="994" ht="14.25" customHeight="1">
      <c r="A994" s="1"/>
      <c r="F994" s="3"/>
      <c r="G994" s="1"/>
    </row>
    <row r="995" ht="14.25" customHeight="1">
      <c r="A995" s="1"/>
      <c r="F995" s="3"/>
      <c r="G995" s="1"/>
    </row>
    <row r="996" ht="14.25" customHeight="1">
      <c r="A996" s="1"/>
      <c r="F996" s="3"/>
      <c r="G996" s="1"/>
    </row>
    <row r="997" ht="14.25" customHeight="1">
      <c r="A997" s="1"/>
      <c r="F997" s="3"/>
      <c r="G997" s="1"/>
    </row>
    <row r="998" ht="14.25" customHeight="1">
      <c r="A998" s="1"/>
      <c r="F998" s="3"/>
      <c r="G998" s="1"/>
    </row>
    <row r="999" ht="14.25" customHeight="1">
      <c r="A999" s="1"/>
      <c r="F999" s="3"/>
      <c r="G999" s="1"/>
    </row>
    <row r="1000" ht="14.25" customHeight="1">
      <c r="A1000" s="1"/>
      <c r="F1000" s="3"/>
      <c r="G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2023-11-08T22:33:23Z</dcterms:created>
  <dc:creator>Sara Pilato</dc:creator>
</cp:coreProperties>
</file>